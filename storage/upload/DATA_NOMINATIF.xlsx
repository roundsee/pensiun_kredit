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NOMINATIF" sheetId="1" r:id="rId4"/>
  </sheets>
  <definedNames/>
  <calcPr/>
  <extLst>
    <ext uri="GoogleSheetsCustomDataVersion2">
      <go:sheetsCustomData xmlns:go="http://customooxmlschemas.google.com/" r:id="rId5" roundtripDataChecksum="NhgtPx4mG33gKvg3+qgOJRaek8J3hhzyM0vYsRDeW9M="/>
    </ext>
  </extLst>
</workbook>
</file>

<file path=xl/sharedStrings.xml><?xml version="1.0" encoding="utf-8"?>
<sst xmlns="http://schemas.openxmlformats.org/spreadsheetml/2006/main" count="57" uniqueCount="56">
  <si>
    <t>KOPERASI NATA BUANA PASUNDAN</t>
  </si>
  <si>
    <t>Business Park No. 16, Margaasih - Kab. Bandung</t>
  </si>
  <si>
    <t>DAFTAR NOMINATIF PENCAIRAN KREDIT</t>
  </si>
  <si>
    <t>KOPERASI NATA BUANA PASUNDAN DENGAN PT BANK KB INDONESIA, Tbk</t>
  </si>
  <si>
    <t>Tanggal 17 Maret 2026</t>
  </si>
  <si>
    <t>DATA DEBITUR</t>
  </si>
  <si>
    <t>NAMA</t>
  </si>
  <si>
    <t>SORYANTO</t>
  </si>
  <si>
    <t xml:space="preserve">NO. KTP </t>
  </si>
  <si>
    <t>3509273110540000</t>
  </si>
  <si>
    <t xml:space="preserve">TANGGAL LAHIR </t>
  </si>
  <si>
    <t>NO. TELP/ HP</t>
  </si>
  <si>
    <t>085334392058</t>
  </si>
  <si>
    <t xml:space="preserve">NO. PENSIUN </t>
  </si>
  <si>
    <t>51006736400</t>
  </si>
  <si>
    <t>NO. SK/SKEP</t>
  </si>
  <si>
    <t>00354/KEP/CV/23509/2010</t>
  </si>
  <si>
    <t>PENGELOLA PENSIUN (TASPEN/ASABRI)</t>
  </si>
  <si>
    <t>TASPEN</t>
  </si>
  <si>
    <t>NO. PK</t>
  </si>
  <si>
    <t>PK.0002/NBP_CH.KB/III/2026</t>
  </si>
  <si>
    <t>TGL AKAD PK</t>
  </si>
  <si>
    <t>06 Maret 2026</t>
  </si>
  <si>
    <t>PLAFOND</t>
  </si>
  <si>
    <t xml:space="preserve">JANGKA WAKTU </t>
  </si>
  <si>
    <t>103 Bulan</t>
  </si>
  <si>
    <t>PROVISI BANK (0.5%)</t>
  </si>
  <si>
    <t>ADMINISTRASI BANK (0.5%)</t>
  </si>
  <si>
    <t xml:space="preserve">TOTAL BIAYA BANK </t>
  </si>
  <si>
    <t>BIAYA ADMINISTRASI (5%)</t>
  </si>
  <si>
    <t>ASURANSI</t>
  </si>
  <si>
    <t>MATERAI</t>
  </si>
  <si>
    <t>BIAYA FLAGGING</t>
  </si>
  <si>
    <t>TOTAL BIAYA MITRA CHANNELING</t>
  </si>
  <si>
    <t xml:space="preserve">ANGSURAN DIBAYAR DIMUKA </t>
  </si>
  <si>
    <t xml:space="preserve">TOTAL PENERIMAAN NASABAH </t>
  </si>
  <si>
    <t>ANGSURAN PER BULAN BANK (POKOK + BUNGA)</t>
  </si>
  <si>
    <t>BIAYA ADMINISTRASI ANGSURAN ( BAA)</t>
  </si>
  <si>
    <t>TOTAL ANGSURAN PER BULAN (BANK + BAA)</t>
  </si>
  <si>
    <t xml:space="preserve">NOMOR REKENING NASABAH </t>
  </si>
  <si>
    <t>3201311997</t>
  </si>
  <si>
    <t xml:space="preserve">KB BANK CABANG </t>
  </si>
  <si>
    <t>KCP TANGGUL</t>
  </si>
  <si>
    <t xml:space="preserve">NAMA AO </t>
  </si>
  <si>
    <t>NOVAN TRI HARDYANTO</t>
  </si>
  <si>
    <t>KODE AO</t>
  </si>
  <si>
    <t>6578</t>
  </si>
  <si>
    <t>KET</t>
  </si>
  <si>
    <t>TAKE OVER</t>
  </si>
  <si>
    <t>KANTOR BAYAR SEBELUMNYA</t>
  </si>
  <si>
    <t>KB BANK</t>
  </si>
  <si>
    <t xml:space="preserve">DANA TAKE OVER </t>
  </si>
  <si>
    <t xml:space="preserve">BLOKIR DANA </t>
  </si>
  <si>
    <t>HORMAT KAMI,</t>
  </si>
  <si>
    <t>SUTRISNA KP</t>
  </si>
  <si>
    <t>KETUA KOPERASI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</si>
</sst>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-421]dd\ mmmm\ yyyy"/>
    <numFmt numFmtId="165" formatCode="_-[$Rp-421]* #,##0_-;\-[$Rp-421]* #,##0_-;_-[$Rp-421]* &quot;-&quot;_-;_-@"/>
  </numFmts>
  <fonts count="8">
    <font>
      <sz val="10.0"/>
      <color rgb="FF000000"/>
      <name val="Calibri"/>
      <scheme val="minor"/>
    </font>
    <font>
      <sz val="10.0"/>
      <color rgb="FF000000"/>
      <name val="Calibri"/>
    </font>
    <font>
      <b/>
      <sz val="12.0"/>
      <color theme="1"/>
      <name val="Calibri"/>
    </font>
    <font>
      <sz val="11.0"/>
      <color rgb="FF000000"/>
      <name val="Calibri"/>
    </font>
    <font>
      <sz val="11.0"/>
      <color theme="1"/>
      <name val="Calibri"/>
    </font>
    <font>
      <b/>
      <sz val="11.0"/>
      <color theme="1"/>
      <name val="Calibri"/>
    </font>
    <font/>
    <font>
      <sz val="10.0"/>
      <color theme="1"/>
      <name val="Arial"/>
    </font>
  </fonts>
  <fills count="2">
    <fill>
      <patternFill patternType="none"/>
    </fill>
    <fill>
      <patternFill patternType="lightGray"/>
    </fill>
  </fills>
  <borders count="6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right"/>
    </xf>
    <xf borderId="0" fillId="0" fontId="3" numFmtId="0" xfId="0" applyAlignment="1" applyFont="1">
      <alignment horizontal="right"/>
    </xf>
    <xf borderId="0" fillId="0" fontId="4" numFmtId="0" xfId="0" applyAlignment="1" applyFont="1">
      <alignment horizontal="center"/>
    </xf>
    <xf borderId="0" fillId="0" fontId="4" numFmtId="0" xfId="0" applyAlignment="1" applyFont="1">
      <alignment horizontal="right"/>
    </xf>
    <xf borderId="0" fillId="0" fontId="5" numFmtId="0" xfId="0" applyAlignment="1" applyFont="1">
      <alignment horizontal="center"/>
    </xf>
    <xf borderId="1" fillId="0" fontId="5" numFmtId="0" xfId="0" applyAlignment="1" applyBorder="1" applyFont="1">
      <alignment horizontal="center"/>
    </xf>
    <xf borderId="1" fillId="0" fontId="6" numFmtId="0" xfId="0" applyBorder="1" applyFont="1"/>
    <xf borderId="0" fillId="0" fontId="5" numFmtId="0" xfId="0" applyAlignment="1" applyFont="1">
      <alignment horizontal="left"/>
    </xf>
    <xf borderId="0" fillId="0" fontId="5" numFmtId="0" xfId="0" applyFont="1"/>
    <xf borderId="2" fillId="0" fontId="5" numFmtId="0" xfId="0" applyAlignment="1" applyBorder="1" applyFont="1">
      <alignment horizontal="center"/>
    </xf>
    <xf borderId="3" fillId="0" fontId="5" numFmtId="0" xfId="0" applyAlignment="1" applyBorder="1" applyFont="1">
      <alignment horizontal="left"/>
    </xf>
    <xf borderId="4" fillId="0" fontId="6" numFmtId="0" xfId="0" applyBorder="1" applyFont="1"/>
    <xf borderId="5" fillId="0" fontId="6" numFmtId="0" xfId="0" applyBorder="1" applyFont="1"/>
    <xf borderId="2" fillId="0" fontId="4" numFmtId="0" xfId="0" applyAlignment="1" applyBorder="1" applyFont="1">
      <alignment horizontal="center"/>
    </xf>
    <xf quotePrefix="1" borderId="2" fillId="0" fontId="4" numFmtId="0" xfId="0" applyAlignment="1" applyBorder="1" applyFont="1">
      <alignment horizontal="center"/>
    </xf>
    <xf borderId="2" fillId="0" fontId="4" numFmtId="164" xfId="0" applyAlignment="1" applyBorder="1" applyFont="1" applyNumberFormat="1">
      <alignment horizontal="center"/>
    </xf>
    <xf borderId="2" fillId="0" fontId="4" numFmtId="15" xfId="0" applyAlignment="1" applyBorder="1" applyFont="1" applyNumberFormat="1">
      <alignment horizontal="center"/>
    </xf>
    <xf borderId="2" fillId="0" fontId="4" numFmtId="165" xfId="0" applyAlignment="1" applyBorder="1" applyFont="1" applyNumberFormat="1">
      <alignment horizontal="center"/>
    </xf>
    <xf borderId="2" fillId="0" fontId="5" numFmtId="165" xfId="0" applyAlignment="1" applyBorder="1" applyFont="1" applyNumberFormat="1">
      <alignment horizontal="right"/>
    </xf>
    <xf borderId="0" fillId="0" fontId="4" numFmtId="0" xfId="0" applyFont="1"/>
    <xf borderId="0" fillId="0" fontId="7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114300</xdr:colOff>
      <xdr:row>1</xdr:row>
      <xdr:rowOff>38100</xdr:rowOff>
    </xdr:from>
    <xdr:ext cx="552450" cy="4762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6.86"/>
    <col customWidth="1" min="3" max="7" width="9.14"/>
    <col customWidth="1" min="8" max="8" width="28.43"/>
    <col customWidth="1" min="9" max="26" width="8.71"/>
  </cols>
  <sheetData>
    <row r="1" ht="12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2.75" customHeight="1">
      <c r="A2" s="1"/>
      <c r="B2" s="2" t="s">
        <v>0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0" customHeight="1">
      <c r="A3" s="1"/>
      <c r="B3" s="3" t="s">
        <v>1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2.75" customHeight="1">
      <c r="A4" s="1"/>
      <c r="B4" s="4"/>
      <c r="C4" s="1"/>
      <c r="D4" s="1"/>
      <c r="E4" s="1"/>
      <c r="F4" s="1"/>
      <c r="G4" s="1"/>
      <c r="H4" s="5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2.75" customHeight="1">
      <c r="A5" s="1"/>
      <c r="B5" s="6" t="s">
        <v>2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2.75" customHeight="1">
      <c r="A6" s="1"/>
      <c r="B6" s="6" t="s">
        <v>3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2.75" customHeight="1">
      <c r="A7" s="1"/>
      <c r="B7" s="4" t="s">
        <v>4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2.75" customHeight="1">
      <c r="A8" s="1"/>
      <c r="B8" s="6"/>
      <c r="C8" s="6"/>
      <c r="D8" s="6"/>
      <c r="E8" s="6"/>
      <c r="F8" s="6"/>
      <c r="G8" s="6"/>
      <c r="H8" s="6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2.75" customHeight="1">
      <c r="A9" s="1"/>
      <c r="B9" s="7" t="s">
        <v>5</v>
      </c>
      <c r="C9" s="8"/>
      <c r="D9" s="1"/>
      <c r="E9" s="1"/>
      <c r="F9" s="9"/>
      <c r="G9" s="10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2.75" customHeight="1">
      <c r="A10" s="1"/>
      <c r="B10" s="11">
        <v>1.0</v>
      </c>
      <c r="C10" s="12" t="s">
        <v>6</v>
      </c>
      <c r="D10" s="13"/>
      <c r="E10" s="13"/>
      <c r="F10" s="13"/>
      <c r="G10" s="14"/>
      <c r="H10" s="15" t="s">
        <v>7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2.75" customHeight="1">
      <c r="A11" s="1"/>
      <c r="B11" s="11">
        <v>2.0</v>
      </c>
      <c r="C11" s="12" t="s">
        <v>8</v>
      </c>
      <c r="D11" s="13"/>
      <c r="E11" s="13"/>
      <c r="F11" s="13"/>
      <c r="G11" s="14"/>
      <c r="H11" s="16" t="s">
        <v>9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2.75" customHeight="1">
      <c r="A12" s="1"/>
      <c r="B12" s="11">
        <v>3.0</v>
      </c>
      <c r="C12" s="12" t="s">
        <v>10</v>
      </c>
      <c r="D12" s="13"/>
      <c r="E12" s="13"/>
      <c r="F12" s="13"/>
      <c r="G12" s="14"/>
      <c r="H12" s="17">
        <v>20028.0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2.75" customHeight="1">
      <c r="A13" s="1"/>
      <c r="B13" s="11">
        <v>4.0</v>
      </c>
      <c r="C13" s="12" t="s">
        <v>11</v>
      </c>
      <c r="D13" s="13"/>
      <c r="E13" s="13"/>
      <c r="F13" s="13"/>
      <c r="G13" s="14"/>
      <c r="H13" s="16" t="s">
        <v>12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2.75" customHeight="1">
      <c r="A14" s="1"/>
      <c r="B14" s="11">
        <v>5.0</v>
      </c>
      <c r="C14" s="12" t="s">
        <v>13</v>
      </c>
      <c r="D14" s="13"/>
      <c r="E14" s="13"/>
      <c r="F14" s="13"/>
      <c r="G14" s="14"/>
      <c r="H14" s="16" t="s">
        <v>14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2.75" customHeight="1">
      <c r="A15" s="1"/>
      <c r="B15" s="11">
        <v>6.0</v>
      </c>
      <c r="C15" s="12" t="s">
        <v>15</v>
      </c>
      <c r="D15" s="13"/>
      <c r="E15" s="13"/>
      <c r="F15" s="13"/>
      <c r="G15" s="14"/>
      <c r="H15" s="16" t="s">
        <v>16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2.75" customHeight="1">
      <c r="A16" s="1"/>
      <c r="B16" s="11">
        <v>7.0</v>
      </c>
      <c r="C16" s="12" t="s">
        <v>17</v>
      </c>
      <c r="D16" s="13"/>
      <c r="E16" s="13"/>
      <c r="F16" s="13"/>
      <c r="G16" s="14"/>
      <c r="H16" s="15" t="s">
        <v>18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2.75" customHeight="1">
      <c r="A17" s="1"/>
      <c r="B17" s="11">
        <v>8.0</v>
      </c>
      <c r="C17" s="12" t="s">
        <v>19</v>
      </c>
      <c r="D17" s="13"/>
      <c r="E17" s="13"/>
      <c r="F17" s="13"/>
      <c r="G17" s="14"/>
      <c r="H17" s="15" t="s">
        <v>20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2.75" customHeight="1">
      <c r="A18" s="1"/>
      <c r="B18" s="11">
        <v>9.0</v>
      </c>
      <c r="C18" s="12" t="s">
        <v>21</v>
      </c>
      <c r="D18" s="13"/>
      <c r="E18" s="13"/>
      <c r="F18" s="13"/>
      <c r="G18" s="14"/>
      <c r="H18" s="18" t="s">
        <v>22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2.75" customHeight="1">
      <c r="A19" s="1"/>
      <c r="B19" s="11">
        <v>10.0</v>
      </c>
      <c r="C19" s="12" t="s">
        <v>23</v>
      </c>
      <c r="D19" s="13"/>
      <c r="E19" s="13"/>
      <c r="F19" s="13"/>
      <c r="G19" s="14"/>
      <c r="H19" s="19">
        <v>1.558E8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2.75" customHeight="1">
      <c r="A20" s="1"/>
      <c r="B20" s="11">
        <v>11.0</v>
      </c>
      <c r="C20" s="12" t="s">
        <v>24</v>
      </c>
      <c r="D20" s="13"/>
      <c r="E20" s="13"/>
      <c r="F20" s="13"/>
      <c r="G20" s="14"/>
      <c r="H20" s="15" t="s">
        <v>25</v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2.75" customHeight="1">
      <c r="A21" s="1"/>
      <c r="B21" s="11">
        <v>12.0</v>
      </c>
      <c r="C21" s="12" t="s">
        <v>26</v>
      </c>
      <c r="D21" s="13"/>
      <c r="E21" s="13"/>
      <c r="F21" s="13"/>
      <c r="G21" s="14"/>
      <c r="H21" s="19">
        <f>H19*0.5%</f>
        <v>779000</v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2.75" customHeight="1">
      <c r="A22" s="1"/>
      <c r="B22" s="11">
        <v>13.0</v>
      </c>
      <c r="C22" s="12" t="s">
        <v>27</v>
      </c>
      <c r="D22" s="13"/>
      <c r="E22" s="13"/>
      <c r="F22" s="13"/>
      <c r="G22" s="14"/>
      <c r="H22" s="19">
        <f>H19*0.5%</f>
        <v>779000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2.75" customHeight="1">
      <c r="A23" s="1"/>
      <c r="B23" s="11">
        <v>14.0</v>
      </c>
      <c r="C23" s="12" t="s">
        <v>28</v>
      </c>
      <c r="D23" s="13"/>
      <c r="E23" s="13"/>
      <c r="F23" s="13"/>
      <c r="G23" s="14"/>
      <c r="H23" s="19">
        <f>SUM(H21:H22)</f>
        <v>1558000</v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2.75" customHeight="1">
      <c r="A24" s="1"/>
      <c r="B24" s="11">
        <v>15.0</v>
      </c>
      <c r="C24" s="12" t="s">
        <v>29</v>
      </c>
      <c r="D24" s="13"/>
      <c r="E24" s="13"/>
      <c r="F24" s="13"/>
      <c r="G24" s="14"/>
      <c r="H24" s="19">
        <f>H19*5%</f>
        <v>7790000</v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2.75" customHeight="1">
      <c r="A25" s="1"/>
      <c r="B25" s="11">
        <v>16.0</v>
      </c>
      <c r="C25" s="12" t="s">
        <v>30</v>
      </c>
      <c r="D25" s="13"/>
      <c r="E25" s="13"/>
      <c r="F25" s="13"/>
      <c r="G25" s="14"/>
      <c r="H25" s="19">
        <v>4.1438126E7</v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2.75" customHeight="1">
      <c r="A26" s="1"/>
      <c r="B26" s="11">
        <v>17.0</v>
      </c>
      <c r="C26" s="12" t="s">
        <v>31</v>
      </c>
      <c r="D26" s="13"/>
      <c r="E26" s="13"/>
      <c r="F26" s="13"/>
      <c r="G26" s="14"/>
      <c r="H26" s="19">
        <v>80000.0</v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2.75" customHeight="1">
      <c r="A27" s="1"/>
      <c r="B27" s="11">
        <v>18.0</v>
      </c>
      <c r="C27" s="12" t="s">
        <v>32</v>
      </c>
      <c r="D27" s="13"/>
      <c r="E27" s="13"/>
      <c r="F27" s="13"/>
      <c r="G27" s="14"/>
      <c r="H27" s="19">
        <v>816000.0</v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2.75" customHeight="1">
      <c r="A28" s="1"/>
      <c r="B28" s="11">
        <v>19.0</v>
      </c>
      <c r="C28" s="12" t="s">
        <v>33</v>
      </c>
      <c r="D28" s="13"/>
      <c r="E28" s="13"/>
      <c r="F28" s="13"/>
      <c r="G28" s="14"/>
      <c r="H28" s="19">
        <f>SUM(H24:H27)</f>
        <v>50124126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2.75" customHeight="1">
      <c r="A29" s="1"/>
      <c r="B29" s="11">
        <v>20.0</v>
      </c>
      <c r="C29" s="12" t="s">
        <v>34</v>
      </c>
      <c r="D29" s="13"/>
      <c r="E29" s="13"/>
      <c r="F29" s="13"/>
      <c r="G29" s="14"/>
      <c r="H29" s="19">
        <v>3080553.0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2.75" customHeight="1">
      <c r="A30" s="1"/>
      <c r="B30" s="11">
        <v>21.0</v>
      </c>
      <c r="C30" s="12" t="s">
        <v>35</v>
      </c>
      <c r="D30" s="13"/>
      <c r="E30" s="13"/>
      <c r="F30" s="13"/>
      <c r="G30" s="14"/>
      <c r="H30" s="19">
        <f>H19-H23-H28-H29</f>
        <v>101037321</v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2.75" customHeight="1">
      <c r="A31" s="1"/>
      <c r="B31" s="11">
        <v>22.0</v>
      </c>
      <c r="C31" s="12" t="s">
        <v>36</v>
      </c>
      <c r="D31" s="13"/>
      <c r="E31" s="13"/>
      <c r="F31" s="13"/>
      <c r="G31" s="14"/>
      <c r="H31" s="19">
        <v>2259457.0</v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2.75" customHeight="1">
      <c r="A32" s="1"/>
      <c r="B32" s="11">
        <v>23.0</v>
      </c>
      <c r="C32" s="12" t="s">
        <v>37</v>
      </c>
      <c r="D32" s="13"/>
      <c r="E32" s="13"/>
      <c r="F32" s="13"/>
      <c r="G32" s="14"/>
      <c r="H32" s="19">
        <f>H33-H31</f>
        <v>821096</v>
      </c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2.75" customHeight="1">
      <c r="A33" s="1"/>
      <c r="B33" s="11">
        <v>24.0</v>
      </c>
      <c r="C33" s="12" t="s">
        <v>38</v>
      </c>
      <c r="D33" s="13"/>
      <c r="E33" s="13"/>
      <c r="F33" s="13"/>
      <c r="G33" s="14"/>
      <c r="H33" s="19">
        <v>3080553.0</v>
      </c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2.75" customHeight="1">
      <c r="A34" s="1"/>
      <c r="B34" s="11">
        <v>25.0</v>
      </c>
      <c r="C34" s="12" t="s">
        <v>39</v>
      </c>
      <c r="D34" s="13"/>
      <c r="E34" s="13"/>
      <c r="F34" s="13"/>
      <c r="G34" s="14"/>
      <c r="H34" s="16" t="s">
        <v>40</v>
      </c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2.75" customHeight="1">
      <c r="A35" s="1"/>
      <c r="B35" s="11">
        <v>26.0</v>
      </c>
      <c r="C35" s="12" t="s">
        <v>41</v>
      </c>
      <c r="D35" s="13"/>
      <c r="E35" s="13"/>
      <c r="F35" s="13"/>
      <c r="G35" s="14"/>
      <c r="H35" s="19" t="s">
        <v>42</v>
      </c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2.75" customHeight="1">
      <c r="A36" s="1"/>
      <c r="B36" s="11">
        <v>27.0</v>
      </c>
      <c r="C36" s="12" t="s">
        <v>43</v>
      </c>
      <c r="D36" s="13"/>
      <c r="E36" s="13"/>
      <c r="F36" s="13"/>
      <c r="G36" s="14"/>
      <c r="H36" s="19" t="s">
        <v>44</v>
      </c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2.75" customHeight="1">
      <c r="A37" s="1"/>
      <c r="B37" s="11">
        <v>28.0</v>
      </c>
      <c r="C37" s="12" t="s">
        <v>45</v>
      </c>
      <c r="D37" s="13"/>
      <c r="E37" s="13"/>
      <c r="F37" s="13"/>
      <c r="G37" s="14"/>
      <c r="H37" s="16" t="s">
        <v>46</v>
      </c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2.75" customHeight="1">
      <c r="A38" s="1"/>
      <c r="B38" s="11">
        <v>29.0</v>
      </c>
      <c r="C38" s="12" t="s">
        <v>47</v>
      </c>
      <c r="D38" s="13"/>
      <c r="E38" s="13"/>
      <c r="F38" s="13"/>
      <c r="G38" s="14"/>
      <c r="H38" s="19" t="s">
        <v>48</v>
      </c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2.75" customHeight="1">
      <c r="A39" s="1"/>
      <c r="B39" s="11">
        <v>30.0</v>
      </c>
      <c r="C39" s="12" t="s">
        <v>49</v>
      </c>
      <c r="D39" s="13"/>
      <c r="E39" s="13"/>
      <c r="F39" s="13"/>
      <c r="G39" s="14"/>
      <c r="H39" s="19" t="s">
        <v>50</v>
      </c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2.75" customHeight="1">
      <c r="A40" s="1"/>
      <c r="B40" s="11">
        <v>31.0</v>
      </c>
      <c r="C40" s="12" t="s">
        <v>51</v>
      </c>
      <c r="D40" s="13"/>
      <c r="E40" s="13"/>
      <c r="F40" s="13"/>
      <c r="G40" s="14"/>
      <c r="H40" s="19">
        <v>9.7E7</v>
      </c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2.75" customHeight="1">
      <c r="A41" s="1"/>
      <c r="B41" s="11">
        <v>32.0</v>
      </c>
      <c r="C41" s="12" t="s">
        <v>52</v>
      </c>
      <c r="D41" s="13"/>
      <c r="E41" s="13"/>
      <c r="F41" s="13"/>
      <c r="G41" s="14"/>
      <c r="H41" s="20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2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2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2.75" customHeight="1">
      <c r="A44" s="1"/>
      <c r="B44" s="6" t="s">
        <v>53</v>
      </c>
      <c r="G44" s="1"/>
      <c r="H44" s="6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2.75" customHeight="1">
      <c r="A45" s="1"/>
      <c r="B45" s="6" t="s">
        <v>0</v>
      </c>
      <c r="G45" s="1"/>
      <c r="H45" s="2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2.75" customHeight="1">
      <c r="A46" s="1"/>
      <c r="B46" s="10"/>
      <c r="C46" s="10"/>
      <c r="D46" s="10"/>
      <c r="E46" s="10"/>
      <c r="F46" s="1"/>
      <c r="G46" s="1"/>
      <c r="H46" s="22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2.75" customHeight="1">
      <c r="A47" s="1"/>
      <c r="B47" s="10"/>
      <c r="C47" s="10"/>
      <c r="D47" s="10"/>
      <c r="E47" s="10"/>
      <c r="F47" s="1"/>
      <c r="G47" s="1"/>
      <c r="H47" s="5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2.75" customHeight="1">
      <c r="A48" s="1"/>
      <c r="B48" s="10"/>
      <c r="C48" s="10"/>
      <c r="D48" s="10"/>
      <c r="E48" s="10"/>
      <c r="F48" s="1"/>
      <c r="G48" s="1"/>
      <c r="H48" s="5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2.75" customHeight="1">
      <c r="A49" s="1"/>
      <c r="B49" s="10"/>
      <c r="C49" s="10"/>
      <c r="D49" s="10"/>
      <c r="E49" s="10"/>
      <c r="F49" s="1"/>
      <c r="G49" s="1"/>
      <c r="H49" s="5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2.75" customHeight="1">
      <c r="A50" s="1"/>
      <c r="B50" s="6" t="s">
        <v>54</v>
      </c>
      <c r="G50" s="1"/>
      <c r="H50" s="5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2.75" customHeight="1">
      <c r="A51" s="1"/>
      <c r="B51" s="6" t="s">
        <v>55</v>
      </c>
      <c r="G51" s="1"/>
      <c r="H51" s="5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2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2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2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2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2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2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2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2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2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2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2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2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2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2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2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2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2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2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2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2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2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2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2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2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2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2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2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2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2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2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2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2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2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2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2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2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2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2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2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2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2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2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2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2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2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2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2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2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2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2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2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2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2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2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2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2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2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2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2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2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2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2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2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2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2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2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2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2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2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2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2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2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2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2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2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2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2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2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2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2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2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2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2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2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2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2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2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2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2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2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2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2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2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2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2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2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2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2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2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2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2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2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2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2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2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2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2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2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2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2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2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2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2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2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2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2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2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2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2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2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2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2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2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2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2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2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2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2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2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2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2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2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2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2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2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2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2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2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2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2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2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2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2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2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2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2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2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2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2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2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2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2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2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2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2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2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2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2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2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2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2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2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2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2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2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2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2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2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2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2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2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2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2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2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2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2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2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2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2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2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2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2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2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2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2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2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2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2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2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2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2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2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2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2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2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2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2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2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2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2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2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2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2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2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2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2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2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2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2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2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2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2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2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2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2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2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2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2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2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2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2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2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2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2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2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2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2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2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2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2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2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2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2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2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2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2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2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2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2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2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2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2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2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2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2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2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2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2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2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2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2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2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2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2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2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2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2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2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2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2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2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2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2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2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2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2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2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2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2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2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2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2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2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2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2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2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2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2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2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2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2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2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2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2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2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2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2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2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2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2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2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2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2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2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2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2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2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2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2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2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2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2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2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2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2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2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2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2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2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2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2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2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2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2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2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2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2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2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2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2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2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2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2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2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2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2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2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2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2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2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2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2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2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2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2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2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2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2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2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2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2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2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2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2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2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2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2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2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2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2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2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2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2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2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2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2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2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2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2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2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2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2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2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2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2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2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2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2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2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2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2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2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2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2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2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2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2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2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2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2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2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2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2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2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2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2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2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2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2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2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2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2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2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2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2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2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2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2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2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2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2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2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2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2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2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2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2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2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2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2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2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2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2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2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2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2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2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2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2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2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2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2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2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2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2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2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2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2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2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2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2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2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2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2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2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2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2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2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2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2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2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2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2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2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2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2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2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2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2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2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2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2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2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2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2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2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2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2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2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2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2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2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2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2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2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2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2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2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2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2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2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2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2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2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2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2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2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2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2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2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2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2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2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2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2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2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2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2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2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2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2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2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2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2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2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2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2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2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2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2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2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2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2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2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2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2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2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2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2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2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2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2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2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2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2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2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2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2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2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2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2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2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2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2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2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2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2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2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2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2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2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2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2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2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2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2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2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2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2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2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2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2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2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2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2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2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2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2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2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2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2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2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2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2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2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2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2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2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2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2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2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2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2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2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2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2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2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2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2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2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2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2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2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2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2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2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2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2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2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2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2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2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2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2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2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2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2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2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2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2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2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2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2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2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2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2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2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2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2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2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2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2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2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2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2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2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2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2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2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2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2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2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2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2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2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2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2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2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2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2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2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2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2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2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2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2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2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2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2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2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2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2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2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2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2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2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2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2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2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2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2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2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2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2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2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2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2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2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2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2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2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2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2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2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2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2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2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2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2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2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2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2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2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2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2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2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2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2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2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2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2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2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2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2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2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2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2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2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2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2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2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2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2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2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2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2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2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2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2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2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2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2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2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2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2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2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2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2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2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2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2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2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2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2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2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2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2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2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2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2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2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2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2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2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2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2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2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2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2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2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2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2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2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2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2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2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2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2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2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2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2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2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2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2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2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2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2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2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2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2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2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2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2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2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2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2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2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2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2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2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2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2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2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2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2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2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2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2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2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2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2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2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2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2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2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2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2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2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2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2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2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42">
    <mergeCell ref="B2:H2"/>
    <mergeCell ref="B3:H3"/>
    <mergeCell ref="B5:H5"/>
    <mergeCell ref="B6:H6"/>
    <mergeCell ref="B7:H7"/>
    <mergeCell ref="B9:C9"/>
    <mergeCell ref="C10:G10"/>
    <mergeCell ref="C11:G11"/>
    <mergeCell ref="C12:G12"/>
    <mergeCell ref="C13:G13"/>
    <mergeCell ref="C14:G14"/>
    <mergeCell ref="C15:G15"/>
    <mergeCell ref="C16:G16"/>
    <mergeCell ref="C17:G17"/>
    <mergeCell ref="C18:G18"/>
    <mergeCell ref="C19:G19"/>
    <mergeCell ref="C20:G20"/>
    <mergeCell ref="C21:G21"/>
    <mergeCell ref="C22:G22"/>
    <mergeCell ref="C23:G23"/>
    <mergeCell ref="C24:G24"/>
    <mergeCell ref="C25:G25"/>
    <mergeCell ref="C26:G26"/>
    <mergeCell ref="C27:G27"/>
    <mergeCell ref="C28:G28"/>
    <mergeCell ref="C29:G29"/>
    <mergeCell ref="C30:G30"/>
    <mergeCell ref="C31:G31"/>
    <mergeCell ref="C39:G39"/>
    <mergeCell ref="C40:G40"/>
    <mergeCell ref="C41:G41"/>
    <mergeCell ref="B44:F44"/>
    <mergeCell ref="B45:F45"/>
    <mergeCell ref="B50:F50"/>
    <mergeCell ref="B51:F51"/>
    <mergeCell ref="C32:G32"/>
    <mergeCell ref="C33:G33"/>
    <mergeCell ref="C34:G34"/>
    <mergeCell ref="C35:G35"/>
    <mergeCell ref="C36:G36"/>
    <mergeCell ref="C37:G37"/>
    <mergeCell ref="C38:G38"/>
  </mergeCells>
  <printOptions/>
  <pageMargins bottom="0.75" footer="0.0" header="0.0" left="0.7" right="0.68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2026-03-17T04:49:57Z</dcterms:created>
  <dc:creator>User</dc:creator>
</cp:coreProperties>
</file>