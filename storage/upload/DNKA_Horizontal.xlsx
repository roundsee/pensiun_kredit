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E88E846-E408-4E3E-8586-68A4D23294F3}" xr6:coauthVersionLast="47" xr6:coauthVersionMax="47" xr10:uidLastSave="{00000000-0000-0000-0000-000000000000}"/>
  <bookViews>
    <workbookView xWindow="-108" yWindow="-108" windowWidth="23256" windowHeight="13176" xr2:uid="{9929288C-8A8E-4FBF-83C1-76299CA984CD}"/>
  </bookViews>
  <sheets>
    <sheet name="DNKA HORIZONT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2" i="1" l="1"/>
  <c r="P12" i="1"/>
  <c r="U11" i="1"/>
  <c r="P11" i="1"/>
  <c r="U10" i="1"/>
  <c r="P10" i="1"/>
  <c r="U9" i="1"/>
  <c r="P9" i="1"/>
  <c r="U8" i="1"/>
  <c r="P8" i="1"/>
  <c r="AH7" i="1"/>
  <c r="AG7" i="1"/>
  <c r="AF7" i="1"/>
  <c r="AE7" i="1"/>
  <c r="AD7" i="1"/>
  <c r="AC7" i="1"/>
  <c r="AB7" i="1"/>
  <c r="AA7" i="1"/>
  <c r="Z7" i="1"/>
  <c r="Y7" i="1"/>
  <c r="X7" i="1"/>
  <c r="V7" i="1"/>
  <c r="U7" i="1"/>
  <c r="T7" i="1"/>
  <c r="S7" i="1"/>
  <c r="R7" i="1"/>
  <c r="Q7" i="1"/>
  <c r="O7" i="1"/>
  <c r="N7" i="1"/>
  <c r="P7" i="1" s="1"/>
  <c r="W7" i="1" s="1"/>
  <c r="M7" i="1"/>
  <c r="L7" i="1"/>
  <c r="K7" i="1"/>
  <c r="J7" i="1"/>
  <c r="I7" i="1"/>
  <c r="H7" i="1"/>
  <c r="G7" i="1"/>
  <c r="F7" i="1"/>
  <c r="E7" i="1"/>
  <c r="D7" i="1"/>
  <c r="C7" i="1"/>
  <c r="C3" i="1"/>
</calcChain>
</file>

<file path=xl/sharedStrings.xml><?xml version="1.0" encoding="utf-8"?>
<sst xmlns="http://schemas.openxmlformats.org/spreadsheetml/2006/main" count="44" uniqueCount="44">
  <si>
    <t>DAFTAR NOMINATIF PENARIKAN KREDIT</t>
  </si>
  <si>
    <t>NAMA MITRA CHANNELING DENGAN PT. BANK KB INDONESIA, Tbk</t>
  </si>
  <si>
    <t>TANGGAL</t>
  </si>
  <si>
    <t>:</t>
  </si>
  <si>
    <t>NO.</t>
  </si>
  <si>
    <t>NAMA</t>
  </si>
  <si>
    <t>NO. KTP</t>
  </si>
  <si>
    <t>TANGGAL LAHIR</t>
  </si>
  <si>
    <t>NO. TELP/HP</t>
  </si>
  <si>
    <t>NO. PENSIUN</t>
  </si>
  <si>
    <t>NO. SK/SKEP</t>
  </si>
  <si>
    <t>PENGELOLA PENSIUN (TASPEN/ASABRI)</t>
  </si>
  <si>
    <t>NO. PK</t>
  </si>
  <si>
    <t>TGL AKAD PK</t>
  </si>
  <si>
    <t>JANGKA WAKTU</t>
  </si>
  <si>
    <t>PLAFOND</t>
  </si>
  <si>
    <t>BANK</t>
  </si>
  <si>
    <t>TOTAL BIAYA BANK</t>
  </si>
  <si>
    <t>ESCROW MITRA CHANNELING</t>
  </si>
  <si>
    <t>TOTAL BIAYA MITRA CHANNELING</t>
  </si>
  <si>
    <t>ANGSURAN DIBAYAR DIMUKA</t>
  </si>
  <si>
    <t>TOTAL PENERIMAAN NASABAH</t>
  </si>
  <si>
    <t>ANGSURAN PER BULAN  BANK (POKOK + BUNGA)</t>
  </si>
  <si>
    <t>BIAYA ADMINISTRASI ANGSURAN (BAA)</t>
  </si>
  <si>
    <t>TOTAL ANGSURAN PER BULAN (BANK + BAA)</t>
  </si>
  <si>
    <t>NO REKENING NASABAH</t>
  </si>
  <si>
    <t>KB BANK CABANG</t>
  </si>
  <si>
    <t>NAMA AO</t>
  </si>
  <si>
    <t>KODE AO</t>
  </si>
  <si>
    <t>KET</t>
  </si>
  <si>
    <t>KANTOR BAYAR SEBELUMNYA (KHUSUS TAKE OVER)</t>
  </si>
  <si>
    <t>DANA TAKE OVER</t>
  </si>
  <si>
    <t xml:space="preserve">BLOKIR DANA </t>
  </si>
  <si>
    <t>PROVISI BANK (0,5%)</t>
  </si>
  <si>
    <t>ADMINISTRASI (0,5%)</t>
  </si>
  <si>
    <t>ASURANSI</t>
  </si>
  <si>
    <t>BIAYA FLAGGING</t>
  </si>
  <si>
    <t>BIAYA ADMINISTRASI</t>
  </si>
  <si>
    <t>MATERAI</t>
  </si>
  <si>
    <t>TOTAL</t>
  </si>
  <si>
    <t>Hormat Kami,</t>
  </si>
  <si>
    <t>Paraf Maker</t>
  </si>
  <si>
    <t>Paraf Checker</t>
  </si>
  <si>
    <t>(Nama Ketua/Pengurus)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</si>
</sst>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_(* #,##0_);_(* \(#,##0\);_(* &quot;-&quot;??_);_(@_)"/>
    <numFmt numFmtId="166" formatCode="_-[$Rp-421]* #,##0_-;\-[$Rp-421]* #,##0_-;_-[$Rp-421]* &quot;-&quot;_-;_-@"/>
  </numFmts>
  <fonts count="5" x14ac:knownFonts="1">
    <font>
      <sz val="10"/>
      <color rgb="FF000000"/>
      <name val="Calibri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b/>
      <sz val="11"/>
      <color theme="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92D050"/>
        <bgColor rgb="FF92D05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14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/>
    <xf numFmtId="15" fontId="1" fillId="0" borderId="10" xfId="0" applyNumberFormat="1" applyFont="1" applyBorder="1"/>
    <xf numFmtId="165" fontId="1" fillId="0" borderId="10" xfId="0" applyNumberFormat="1" applyFont="1" applyBorder="1"/>
    <xf numFmtId="166" fontId="1" fillId="0" borderId="10" xfId="0" applyNumberFormat="1" applyFont="1" applyBorder="1"/>
    <xf numFmtId="166" fontId="1" fillId="0" borderId="10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,%209,%2013,%20REPAY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KA VERTIKAL"/>
      <sheetName val="DATA NOMINATIF"/>
      <sheetName val="DNKA HORIZONTAL"/>
      <sheetName val="DATA LOS BULK"/>
      <sheetName val="DATA REKENING"/>
      <sheetName val="REPAYMENT SCHEDULE"/>
    </sheetNames>
    <sheetDataSet>
      <sheetData sheetId="0">
        <row r="6">
          <cell r="I6" t="str">
            <v>yuni</v>
          </cell>
        </row>
        <row r="7">
          <cell r="I7" t="str">
            <v>596966</v>
          </cell>
        </row>
        <row r="8">
          <cell r="I8" t="str">
            <v>30-11-2002</v>
          </cell>
        </row>
        <row r="9">
          <cell r="I9" t="str">
            <v>02545</v>
          </cell>
        </row>
        <row r="10">
          <cell r="I10" t="str">
            <v>245625</v>
          </cell>
        </row>
        <row r="11">
          <cell r="I11" t="str">
            <v>25565</v>
          </cell>
        </row>
        <row r="12">
          <cell r="I12" t="str">
            <v>taspen</v>
          </cell>
        </row>
        <row r="13">
          <cell r="I13" t="str">
            <v>jshds</v>
          </cell>
        </row>
        <row r="14">
          <cell r="I14">
            <v>45590</v>
          </cell>
        </row>
        <row r="15">
          <cell r="I15">
            <v>104</v>
          </cell>
        </row>
        <row r="16">
          <cell r="I16">
            <v>100000000</v>
          </cell>
        </row>
        <row r="17">
          <cell r="I17">
            <v>500000</v>
          </cell>
        </row>
        <row r="18">
          <cell r="I18">
            <v>500000</v>
          </cell>
        </row>
        <row r="21">
          <cell r="I21">
            <v>816000</v>
          </cell>
        </row>
        <row r="22">
          <cell r="I22">
            <v>5000000</v>
          </cell>
        </row>
        <row r="23">
          <cell r="I23">
            <v>80000</v>
          </cell>
        </row>
        <row r="27">
          <cell r="I27">
            <v>1441410.6488779453</v>
          </cell>
        </row>
        <row r="29">
          <cell r="I29">
            <v>1500000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DFA0-4272-4129-94E3-FED571C9055B}">
  <sheetPr>
    <pageSetUpPr fitToPage="1"/>
  </sheetPr>
  <dimension ref="A1:AH1000"/>
  <sheetViews>
    <sheetView tabSelected="1" workbookViewId="0">
      <selection activeCell="G27" sqref="G27"/>
    </sheetView>
  </sheetViews>
  <sheetFormatPr defaultColWidth="12.6640625" defaultRowHeight="15.75" customHeight="1" x14ac:dyDescent="0.3"/>
  <cols>
    <col min="1" max="1" width="8.21875" customWidth="1"/>
    <col min="2" max="2" width="1.33203125" customWidth="1"/>
    <col min="3" max="3" width="19.88671875" customWidth="1"/>
    <col min="4" max="4" width="7.109375" customWidth="1"/>
    <col min="5" max="5" width="13.44140625" customWidth="1"/>
    <col min="6" max="6" width="10.6640625" customWidth="1"/>
    <col min="7" max="7" width="11.21875" customWidth="1"/>
    <col min="8" max="8" width="10.6640625" customWidth="1"/>
    <col min="9" max="9" width="15.33203125" customWidth="1"/>
    <col min="10" max="10" width="16.44140625" customWidth="1"/>
    <col min="11" max="11" width="12.21875" customWidth="1"/>
    <col min="12" max="12" width="15.109375" customWidth="1"/>
    <col min="13" max="13" width="15.44140625" customWidth="1"/>
    <col min="14" max="16" width="15.88671875" customWidth="1"/>
    <col min="17" max="17" width="14.33203125" customWidth="1"/>
    <col min="18" max="18" width="19.33203125" customWidth="1"/>
    <col min="19" max="19" width="17.6640625" customWidth="1"/>
    <col min="20" max="20" width="19.33203125" customWidth="1"/>
    <col min="21" max="21" width="32.44140625" customWidth="1"/>
    <col min="22" max="23" width="24.77734375" customWidth="1"/>
    <col min="24" max="24" width="31" customWidth="1"/>
    <col min="25" max="25" width="25.44140625" customWidth="1"/>
    <col min="26" max="26" width="20.109375" customWidth="1"/>
    <col min="27" max="27" width="15.44140625" customWidth="1"/>
    <col min="28" max="28" width="13.77734375" customWidth="1"/>
    <col min="29" max="29" width="10.88671875" customWidth="1"/>
    <col min="30" max="30" width="8.77734375" customWidth="1"/>
    <col min="31" max="31" width="20.6640625" customWidth="1"/>
    <col min="32" max="32" width="17.6640625" customWidth="1"/>
    <col min="33" max="33" width="9.6640625" customWidth="1"/>
    <col min="34" max="34" width="12.77734375" customWidth="1"/>
  </cols>
  <sheetData>
    <row r="1" spans="1:34" ht="14.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34" ht="14.4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34" ht="14.4" x14ac:dyDescent="0.3">
      <c r="A3" s="3" t="s">
        <v>2</v>
      </c>
      <c r="B3" s="4" t="s">
        <v>3</v>
      </c>
      <c r="C3" s="5">
        <f ca="1">TODAY()</f>
        <v>46152</v>
      </c>
    </row>
    <row r="5" spans="1:34" ht="15" customHeight="1" x14ac:dyDescent="0.3">
      <c r="A5" s="6" t="s">
        <v>4</v>
      </c>
      <c r="B5" s="7"/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9" t="s">
        <v>11</v>
      </c>
      <c r="J5" s="8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13"/>
      <c r="P5" s="10" t="s">
        <v>17</v>
      </c>
      <c r="Q5" s="12" t="s">
        <v>18</v>
      </c>
      <c r="R5" s="14"/>
      <c r="S5" s="14"/>
      <c r="T5" s="13"/>
      <c r="U5" s="10" t="s">
        <v>19</v>
      </c>
      <c r="V5" s="10" t="s">
        <v>20</v>
      </c>
      <c r="W5" s="10" t="s">
        <v>21</v>
      </c>
      <c r="X5" s="10" t="s">
        <v>22</v>
      </c>
      <c r="Y5" s="10" t="s">
        <v>23</v>
      </c>
      <c r="Z5" s="10" t="s">
        <v>24</v>
      </c>
      <c r="AA5" s="10" t="s">
        <v>25</v>
      </c>
      <c r="AB5" s="10" t="s">
        <v>26</v>
      </c>
      <c r="AC5" s="10" t="s">
        <v>27</v>
      </c>
      <c r="AD5" s="10" t="s">
        <v>28</v>
      </c>
      <c r="AE5" s="10" t="s">
        <v>29</v>
      </c>
      <c r="AF5" s="15" t="s">
        <v>30</v>
      </c>
      <c r="AG5" s="15" t="s">
        <v>31</v>
      </c>
      <c r="AH5" s="15" t="s">
        <v>32</v>
      </c>
    </row>
    <row r="6" spans="1:34" ht="30" customHeight="1" x14ac:dyDescent="0.3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 t="s">
        <v>33</v>
      </c>
      <c r="O6" s="19" t="s">
        <v>34</v>
      </c>
      <c r="P6" s="18"/>
      <c r="Q6" s="20" t="s">
        <v>35</v>
      </c>
      <c r="R6" s="19" t="s">
        <v>36</v>
      </c>
      <c r="S6" s="20" t="s">
        <v>37</v>
      </c>
      <c r="T6" s="20" t="s">
        <v>38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spans="1:34" ht="14.4" x14ac:dyDescent="0.3">
      <c r="A7" s="21">
        <v>1</v>
      </c>
      <c r="B7" s="13"/>
      <c r="C7" s="22" t="str">
        <f>+'[1]DNKA VERTIKAL'!I6</f>
        <v>yuni</v>
      </c>
      <c r="D7" s="22" t="str">
        <f>+'[1]DNKA VERTIKAL'!I7</f>
        <v>596966</v>
      </c>
      <c r="E7" s="23" t="str">
        <f>+'[1]DNKA VERTIKAL'!I8</f>
        <v>30-11-2002</v>
      </c>
      <c r="F7" s="22" t="str">
        <f>+'[1]DNKA VERTIKAL'!I9</f>
        <v>02545</v>
      </c>
      <c r="G7" s="22" t="str">
        <f>+'[1]DNKA VERTIKAL'!I10</f>
        <v>245625</v>
      </c>
      <c r="H7" s="22" t="str">
        <f>+'[1]DNKA VERTIKAL'!I11</f>
        <v>25565</v>
      </c>
      <c r="I7" s="22" t="str">
        <f>+'[1]DNKA VERTIKAL'!I12</f>
        <v>taspen</v>
      </c>
      <c r="J7" s="22" t="str">
        <f>+'[1]DNKA VERTIKAL'!I13</f>
        <v>jshds</v>
      </c>
      <c r="K7" s="24">
        <f>+'[1]DNKA VERTIKAL'!I14</f>
        <v>45590</v>
      </c>
      <c r="L7" s="22">
        <f>+'[1]DNKA VERTIKAL'!I15</f>
        <v>104</v>
      </c>
      <c r="M7" s="25">
        <f>+'[1]DNKA VERTIKAL'!I16</f>
        <v>100000000</v>
      </c>
      <c r="N7" s="25">
        <f>+'[1]DNKA VERTIKAL'!I17</f>
        <v>500000</v>
      </c>
      <c r="O7" s="25">
        <f>+'[1]DNKA VERTIKAL'!I18</f>
        <v>500000</v>
      </c>
      <c r="P7" s="25">
        <f t="shared" ref="P7:P12" si="0">SUM(N7:O7)</f>
        <v>1000000</v>
      </c>
      <c r="Q7" s="25">
        <f>+'[1]DNKA VERTIKAL'!I20</f>
        <v>0</v>
      </c>
      <c r="R7" s="25">
        <f>+'[1]DNKA VERTIKAL'!I21</f>
        <v>816000</v>
      </c>
      <c r="S7" s="25">
        <f>+'[1]DNKA VERTIKAL'!I22</f>
        <v>5000000</v>
      </c>
      <c r="T7" s="25">
        <f>+'[1]DNKA VERTIKAL'!I23</f>
        <v>80000</v>
      </c>
      <c r="U7" s="25">
        <f>SUM(Q7:T7)</f>
        <v>5896000</v>
      </c>
      <c r="V7" s="25">
        <f>+'[1]DNKA VERTIKAL'!I25</f>
        <v>0</v>
      </c>
      <c r="W7" s="25">
        <f>M7-P7-U7-V7</f>
        <v>93104000</v>
      </c>
      <c r="X7" s="25">
        <f>+'[1]DNKA VERTIKAL'!I27</f>
        <v>1441410.6488779453</v>
      </c>
      <c r="Y7" s="25">
        <f>Z7-X7</f>
        <v>58589.351122054737</v>
      </c>
      <c r="Z7" s="25">
        <f>+'[1]DNKA VERTIKAL'!I29</f>
        <v>1500000</v>
      </c>
      <c r="AA7" s="22">
        <f>+'[1]DNKA VERTIKAL'!I30</f>
        <v>0</v>
      </c>
      <c r="AB7" s="26">
        <f>+'[1]DNKA VERTIKAL'!I31</f>
        <v>0</v>
      </c>
      <c r="AC7" s="26">
        <f>+'[1]DNKA VERTIKAL'!I32</f>
        <v>0</v>
      </c>
      <c r="AD7" s="22">
        <f>+'[1]DNKA VERTIKAL'!I33</f>
        <v>0</v>
      </c>
      <c r="AE7" s="27">
        <f>+'[1]DNKA VERTIKAL'!I34</f>
        <v>0</v>
      </c>
      <c r="AF7" s="26">
        <f>+'[1]DNKA VERTIKAL'!I35</f>
        <v>0</v>
      </c>
      <c r="AG7" s="26">
        <f>+'[1]DNKA VERTIKAL'!I36</f>
        <v>0</v>
      </c>
      <c r="AH7" s="26">
        <f>+'[1]DNKA VERTIKAL'!I37</f>
        <v>0</v>
      </c>
    </row>
    <row r="8" spans="1:34" ht="14.4" x14ac:dyDescent="0.3">
      <c r="A8" s="21">
        <v>2</v>
      </c>
      <c r="B8" s="13"/>
      <c r="C8" s="22"/>
      <c r="D8" s="22"/>
      <c r="E8" s="23"/>
      <c r="F8" s="22"/>
      <c r="G8" s="22"/>
      <c r="H8" s="22"/>
      <c r="I8" s="22"/>
      <c r="J8" s="22"/>
      <c r="K8" s="22"/>
      <c r="L8" s="22"/>
      <c r="M8" s="25"/>
      <c r="N8" s="25"/>
      <c r="O8" s="25"/>
      <c r="P8" s="25">
        <f t="shared" si="0"/>
        <v>0</v>
      </c>
      <c r="Q8" s="25"/>
      <c r="R8" s="25"/>
      <c r="S8" s="25"/>
      <c r="T8" s="25"/>
      <c r="U8" s="25">
        <f t="shared" ref="U8:U12" si="1">SUM(R8:T8)</f>
        <v>0</v>
      </c>
      <c r="V8" s="25"/>
      <c r="W8" s="22"/>
      <c r="X8" s="25"/>
      <c r="Y8" s="25"/>
      <c r="Z8" s="25"/>
      <c r="AA8" s="22"/>
      <c r="AB8" s="22"/>
      <c r="AC8" s="22"/>
      <c r="AD8" s="22"/>
      <c r="AE8" s="22"/>
      <c r="AF8" s="22"/>
      <c r="AG8" s="22"/>
      <c r="AH8" s="22"/>
    </row>
    <row r="9" spans="1:34" ht="14.4" x14ac:dyDescent="0.3">
      <c r="A9" s="21">
        <v>3</v>
      </c>
      <c r="B9" s="13"/>
      <c r="C9" s="22"/>
      <c r="D9" s="22"/>
      <c r="E9" s="23"/>
      <c r="F9" s="22"/>
      <c r="G9" s="22"/>
      <c r="H9" s="22"/>
      <c r="I9" s="22"/>
      <c r="J9" s="22"/>
      <c r="K9" s="22"/>
      <c r="L9" s="22"/>
      <c r="M9" s="25"/>
      <c r="N9" s="25"/>
      <c r="O9" s="25"/>
      <c r="P9" s="25">
        <f t="shared" si="0"/>
        <v>0</v>
      </c>
      <c r="Q9" s="25"/>
      <c r="R9" s="25"/>
      <c r="S9" s="25"/>
      <c r="T9" s="25"/>
      <c r="U9" s="25">
        <f t="shared" si="1"/>
        <v>0</v>
      </c>
      <c r="V9" s="25"/>
      <c r="W9" s="22"/>
      <c r="X9" s="25"/>
      <c r="Y9" s="25"/>
      <c r="Z9" s="25"/>
      <c r="AA9" s="22"/>
      <c r="AB9" s="22"/>
      <c r="AC9" s="22"/>
      <c r="AD9" s="22"/>
      <c r="AE9" s="22"/>
      <c r="AF9" s="22"/>
      <c r="AG9" s="22"/>
      <c r="AH9" s="22"/>
    </row>
    <row r="10" spans="1:34" ht="14.4" x14ac:dyDescent="0.3">
      <c r="A10" s="21">
        <v>4</v>
      </c>
      <c r="B10" s="13"/>
      <c r="C10" s="22"/>
      <c r="D10" s="22"/>
      <c r="E10" s="23"/>
      <c r="F10" s="22"/>
      <c r="G10" s="22"/>
      <c r="H10" s="22"/>
      <c r="I10" s="22"/>
      <c r="J10" s="22"/>
      <c r="K10" s="22"/>
      <c r="L10" s="22"/>
      <c r="M10" s="25"/>
      <c r="N10" s="25"/>
      <c r="O10" s="25"/>
      <c r="P10" s="25">
        <f t="shared" si="0"/>
        <v>0</v>
      </c>
      <c r="Q10" s="25"/>
      <c r="R10" s="25"/>
      <c r="S10" s="25"/>
      <c r="T10" s="25"/>
      <c r="U10" s="25">
        <f t="shared" si="1"/>
        <v>0</v>
      </c>
      <c r="V10" s="25"/>
      <c r="W10" s="22"/>
      <c r="X10" s="25"/>
      <c r="Y10" s="25"/>
      <c r="Z10" s="25"/>
      <c r="AA10" s="22"/>
      <c r="AB10" s="22"/>
      <c r="AC10" s="22"/>
      <c r="AD10" s="22"/>
      <c r="AE10" s="22"/>
      <c r="AF10" s="22"/>
      <c r="AG10" s="22"/>
      <c r="AH10" s="22"/>
    </row>
    <row r="11" spans="1:34" ht="14.4" x14ac:dyDescent="0.3">
      <c r="A11" s="21">
        <v>5</v>
      </c>
      <c r="B11" s="13"/>
      <c r="C11" s="22"/>
      <c r="D11" s="22"/>
      <c r="E11" s="23"/>
      <c r="F11" s="22"/>
      <c r="G11" s="22"/>
      <c r="H11" s="22"/>
      <c r="I11" s="22"/>
      <c r="J11" s="22"/>
      <c r="K11" s="22"/>
      <c r="L11" s="22"/>
      <c r="M11" s="25"/>
      <c r="N11" s="25"/>
      <c r="O11" s="25"/>
      <c r="P11" s="25">
        <f t="shared" si="0"/>
        <v>0</v>
      </c>
      <c r="Q11" s="25"/>
      <c r="R11" s="25"/>
      <c r="S11" s="25"/>
      <c r="T11" s="25"/>
      <c r="U11" s="25">
        <f t="shared" si="1"/>
        <v>0</v>
      </c>
      <c r="V11" s="25"/>
      <c r="W11" s="22"/>
      <c r="X11" s="25"/>
      <c r="Y11" s="25"/>
      <c r="Z11" s="25"/>
      <c r="AA11" s="22"/>
      <c r="AB11" s="22"/>
      <c r="AC11" s="22"/>
      <c r="AD11" s="22"/>
      <c r="AE11" s="22"/>
      <c r="AF11" s="22"/>
      <c r="AG11" s="22"/>
      <c r="AH11" s="22"/>
    </row>
    <row r="12" spans="1:34" ht="14.4" x14ac:dyDescent="0.3">
      <c r="A12" s="28" t="s">
        <v>39</v>
      </c>
      <c r="B12" s="14"/>
      <c r="C12" s="14"/>
      <c r="D12" s="14"/>
      <c r="E12" s="14"/>
      <c r="F12" s="14"/>
      <c r="G12" s="14"/>
      <c r="H12" s="14"/>
      <c r="I12" s="14"/>
      <c r="J12" s="13"/>
      <c r="K12" s="25"/>
      <c r="L12" s="25"/>
      <c r="M12" s="25"/>
      <c r="N12" s="25"/>
      <c r="O12" s="25"/>
      <c r="P12" s="25">
        <f t="shared" si="0"/>
        <v>0</v>
      </c>
      <c r="Q12" s="25"/>
      <c r="R12" s="25"/>
      <c r="S12" s="25"/>
      <c r="T12" s="25"/>
      <c r="U12" s="25">
        <f t="shared" si="1"/>
        <v>0</v>
      </c>
      <c r="V12" s="25"/>
      <c r="W12" s="25"/>
      <c r="X12" s="25"/>
      <c r="Y12" s="25"/>
      <c r="Z12" s="22"/>
      <c r="AA12" s="22"/>
      <c r="AB12" s="22"/>
      <c r="AC12" s="22"/>
      <c r="AD12" s="22"/>
      <c r="AE12" s="22"/>
      <c r="AF12" s="22"/>
      <c r="AG12" s="22"/>
      <c r="AH12" s="22"/>
    </row>
    <row r="15" spans="1:34" ht="14.4" x14ac:dyDescent="0.3">
      <c r="C15" s="3" t="s">
        <v>40</v>
      </c>
      <c r="Z15" s="29" t="s">
        <v>41</v>
      </c>
      <c r="AA15" s="30" t="s">
        <v>42</v>
      </c>
    </row>
    <row r="16" spans="1:34" ht="13.8" x14ac:dyDescent="0.3">
      <c r="Z16" s="31"/>
      <c r="AA16" s="32"/>
    </row>
    <row r="17" spans="3:27" ht="13.8" x14ac:dyDescent="0.3">
      <c r="Z17" s="33"/>
      <c r="AA17" s="33"/>
    </row>
    <row r="18" spans="3:27" ht="13.8" x14ac:dyDescent="0.3">
      <c r="Z18" s="33"/>
      <c r="AA18" s="33"/>
    </row>
    <row r="19" spans="3:27" ht="13.8" x14ac:dyDescent="0.3">
      <c r="Z19" s="18"/>
      <c r="AA19" s="18"/>
    </row>
    <row r="20" spans="3:27" ht="14.4" x14ac:dyDescent="0.3">
      <c r="C20" s="34" t="s">
        <v>43</v>
      </c>
    </row>
    <row r="21" spans="3:27" ht="13.8" x14ac:dyDescent="0.3"/>
    <row r="22" spans="3:27" ht="13.8" x14ac:dyDescent="0.3"/>
    <row r="23" spans="3:27" ht="13.8" x14ac:dyDescent="0.3"/>
    <row r="24" spans="3:27" ht="14.4" x14ac:dyDescent="0.3">
      <c r="C24" s="34"/>
    </row>
    <row r="25" spans="3:27" ht="14.4" x14ac:dyDescent="0.3">
      <c r="C25" s="34"/>
    </row>
    <row r="26" spans="3:27" ht="13.8" x14ac:dyDescent="0.3"/>
    <row r="27" spans="3:27" ht="13.8" x14ac:dyDescent="0.3"/>
    <row r="28" spans="3:27" ht="13.8" x14ac:dyDescent="0.3"/>
    <row r="29" spans="3:27" ht="13.8" x14ac:dyDescent="0.3"/>
    <row r="30" spans="3:27" ht="13.8" x14ac:dyDescent="0.3"/>
    <row r="31" spans="3:27" ht="13.8" x14ac:dyDescent="0.3"/>
    <row r="32" spans="3:27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39">
    <mergeCell ref="A10:B10"/>
    <mergeCell ref="A11:B11"/>
    <mergeCell ref="A12:J12"/>
    <mergeCell ref="Z16:Z19"/>
    <mergeCell ref="AA16:AA19"/>
    <mergeCell ref="AF5:AF6"/>
    <mergeCell ref="AG5:AG6"/>
    <mergeCell ref="AH5:AH6"/>
    <mergeCell ref="A7:B7"/>
    <mergeCell ref="A8:B8"/>
    <mergeCell ref="A9:B9"/>
    <mergeCell ref="Z5:Z6"/>
    <mergeCell ref="AA5:AA6"/>
    <mergeCell ref="AB5:AB6"/>
    <mergeCell ref="AC5:AC6"/>
    <mergeCell ref="AD5:AD6"/>
    <mergeCell ref="AE5:AE6"/>
    <mergeCell ref="Q5:T5"/>
    <mergeCell ref="U5:U6"/>
    <mergeCell ref="V5:V6"/>
    <mergeCell ref="W5:W6"/>
    <mergeCell ref="X5:X6"/>
    <mergeCell ref="Y5:Y6"/>
    <mergeCell ref="J5:J6"/>
    <mergeCell ref="K5:K6"/>
    <mergeCell ref="L5:L6"/>
    <mergeCell ref="M5:M6"/>
    <mergeCell ref="N5:O5"/>
    <mergeCell ref="P5:P6"/>
    <mergeCell ref="A1:J1"/>
    <mergeCell ref="A2:K2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DNKA 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2026-05-10T13:13:42Z</dcterms:created>
  <dcterms:modified xsi:type="dcterms:W3CDTF">2026-05-10T13:15:11Z</dcterms:modified>
</cp:coreProperties>
</file>