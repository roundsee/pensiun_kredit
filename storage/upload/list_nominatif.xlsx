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39414342-A86B-40C6-AC67-4BCF70A0233B}" xr6:coauthVersionLast="47" xr6:coauthVersionMax="47" xr10:uidLastSave="{00000000-0000-0000-0000-000000000000}"/>
  <bookViews>
    <workbookView xWindow="-108" yWindow="-108" windowWidth="23256" windowHeight="13176" xr2:uid="{5DACE3CE-7A4B-453D-8777-39C75862338A}"/>
  </bookViews>
  <sheets>
    <sheet name="DES'25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Z642" i="1" l="1"/>
  <c r="Y642" i="1"/>
  <c r="U642" i="1"/>
  <c r="O642" i="1"/>
  <c r="N642" i="1"/>
  <c r="AB641" i="1"/>
  <c r="Z641" i="1"/>
  <c r="J641" i="1" s="1"/>
  <c r="L641" i="1" s="1"/>
  <c r="Y641" i="1"/>
  <c r="U641" i="1"/>
  <c r="O641" i="1"/>
  <c r="N641" i="1"/>
  <c r="Q641" i="1" s="1"/>
  <c r="AB640" i="1"/>
  <c r="Z640" i="1"/>
  <c r="Y640" i="1"/>
  <c r="U640" i="1"/>
  <c r="O640" i="1"/>
  <c r="N640" i="1"/>
  <c r="AB639" i="1"/>
  <c r="Z639" i="1"/>
  <c r="Y639" i="1"/>
  <c r="U639" i="1"/>
  <c r="O639" i="1"/>
  <c r="N639" i="1"/>
  <c r="AB638" i="1"/>
  <c r="Z638" i="1"/>
  <c r="Y638" i="1"/>
  <c r="U638" i="1"/>
  <c r="O638" i="1"/>
  <c r="N638" i="1"/>
  <c r="AB637" i="1"/>
  <c r="Z637" i="1"/>
  <c r="Y637" i="1"/>
  <c r="U637" i="1"/>
  <c r="O637" i="1"/>
  <c r="N637" i="1"/>
  <c r="AB636" i="1"/>
  <c r="Z636" i="1"/>
  <c r="Y636" i="1"/>
  <c r="U636" i="1"/>
  <c r="O636" i="1"/>
  <c r="N636" i="1"/>
  <c r="AB635" i="1"/>
  <c r="Z635" i="1"/>
  <c r="Y635" i="1"/>
  <c r="U635" i="1"/>
  <c r="O635" i="1"/>
  <c r="N635" i="1"/>
  <c r="AB634" i="1"/>
  <c r="Z634" i="1"/>
  <c r="Y634" i="1"/>
  <c r="U634" i="1"/>
  <c r="O634" i="1"/>
  <c r="N634" i="1"/>
  <c r="AB633" i="1"/>
  <c r="Z633" i="1"/>
  <c r="J633" i="1" s="1"/>
  <c r="L633" i="1" s="1"/>
  <c r="Y633" i="1"/>
  <c r="U633" i="1"/>
  <c r="O633" i="1"/>
  <c r="N633" i="1"/>
  <c r="Z632" i="1"/>
  <c r="Y632" i="1"/>
  <c r="U632" i="1"/>
  <c r="O632" i="1"/>
  <c r="N632" i="1"/>
  <c r="J632" i="1" s="1"/>
  <c r="L632" i="1" s="1"/>
  <c r="Z631" i="1"/>
  <c r="Y631" i="1"/>
  <c r="U631" i="1"/>
  <c r="O631" i="1"/>
  <c r="N631" i="1"/>
  <c r="Z630" i="1"/>
  <c r="Y630" i="1"/>
  <c r="U630" i="1"/>
  <c r="O630" i="1"/>
  <c r="N630" i="1"/>
  <c r="Z629" i="1"/>
  <c r="Y629" i="1"/>
  <c r="U629" i="1"/>
  <c r="O629" i="1"/>
  <c r="N629" i="1"/>
  <c r="AB628" i="1"/>
  <c r="Z628" i="1"/>
  <c r="Y628" i="1"/>
  <c r="U628" i="1"/>
  <c r="O628" i="1"/>
  <c r="N628" i="1"/>
  <c r="Z627" i="1"/>
  <c r="J627" i="1" s="1"/>
  <c r="L627" i="1" s="1"/>
  <c r="Y627" i="1"/>
  <c r="U627" i="1"/>
  <c r="O627" i="1"/>
  <c r="N627" i="1"/>
  <c r="Z626" i="1"/>
  <c r="Y626" i="1"/>
  <c r="U626" i="1"/>
  <c r="O626" i="1"/>
  <c r="N626" i="1"/>
  <c r="AB625" i="1"/>
  <c r="Z625" i="1"/>
  <c r="Y625" i="1"/>
  <c r="U625" i="1"/>
  <c r="O625" i="1"/>
  <c r="N625" i="1"/>
  <c r="AB624" i="1"/>
  <c r="Z624" i="1"/>
  <c r="Y624" i="1"/>
  <c r="U624" i="1"/>
  <c r="O624" i="1"/>
  <c r="N624" i="1"/>
  <c r="Q624" i="1" s="1"/>
  <c r="Z623" i="1"/>
  <c r="Y623" i="1"/>
  <c r="U623" i="1"/>
  <c r="O623" i="1"/>
  <c r="N623" i="1"/>
  <c r="AB622" i="1"/>
  <c r="Z622" i="1"/>
  <c r="Y622" i="1"/>
  <c r="U622" i="1"/>
  <c r="O622" i="1"/>
  <c r="N622" i="1"/>
  <c r="Z621" i="1"/>
  <c r="Y621" i="1"/>
  <c r="U621" i="1"/>
  <c r="O621" i="1"/>
  <c r="N621" i="1"/>
  <c r="AB620" i="1"/>
  <c r="Z620" i="1"/>
  <c r="Y620" i="1"/>
  <c r="U620" i="1"/>
  <c r="O620" i="1"/>
  <c r="N620" i="1"/>
  <c r="AB619" i="1"/>
  <c r="Z619" i="1"/>
  <c r="Y619" i="1"/>
  <c r="U619" i="1"/>
  <c r="O619" i="1"/>
  <c r="N619" i="1"/>
  <c r="Z618" i="1"/>
  <c r="Y618" i="1"/>
  <c r="U618" i="1"/>
  <c r="O618" i="1"/>
  <c r="N618" i="1"/>
  <c r="AB617" i="1"/>
  <c r="Z617" i="1"/>
  <c r="Y617" i="1"/>
  <c r="U617" i="1"/>
  <c r="O617" i="1"/>
  <c r="N617" i="1"/>
  <c r="AB616" i="1"/>
  <c r="Z616" i="1"/>
  <c r="Y616" i="1"/>
  <c r="U616" i="1"/>
  <c r="O616" i="1"/>
  <c r="N616" i="1"/>
  <c r="J616" i="1" s="1"/>
  <c r="L616" i="1" s="1"/>
  <c r="Z615" i="1"/>
  <c r="Y615" i="1"/>
  <c r="U615" i="1"/>
  <c r="O615" i="1"/>
  <c r="N615" i="1"/>
  <c r="AB614" i="1"/>
  <c r="Z614" i="1"/>
  <c r="Y614" i="1"/>
  <c r="U614" i="1"/>
  <c r="O614" i="1"/>
  <c r="N614" i="1"/>
  <c r="Q614" i="1" s="1"/>
  <c r="Z612" i="1"/>
  <c r="Y612" i="1"/>
  <c r="U612" i="1"/>
  <c r="O612" i="1"/>
  <c r="N612" i="1"/>
  <c r="AB611" i="1"/>
  <c r="Z611" i="1"/>
  <c r="Y611" i="1"/>
  <c r="U611" i="1"/>
  <c r="O611" i="1"/>
  <c r="N611" i="1"/>
  <c r="Z610" i="1"/>
  <c r="Y610" i="1"/>
  <c r="U610" i="1"/>
  <c r="O610" i="1"/>
  <c r="N610" i="1"/>
  <c r="Z609" i="1"/>
  <c r="Y609" i="1"/>
  <c r="T609" i="1"/>
  <c r="O609" i="1"/>
  <c r="S609" i="1" s="1"/>
  <c r="N609" i="1"/>
  <c r="R609" i="1" s="1"/>
  <c r="Z608" i="1"/>
  <c r="Y608" i="1"/>
  <c r="T608" i="1"/>
  <c r="O608" i="1"/>
  <c r="N608" i="1"/>
  <c r="R608" i="1" s="1"/>
  <c r="Z607" i="1"/>
  <c r="J607" i="1" s="1"/>
  <c r="L607" i="1" s="1"/>
  <c r="Y607" i="1"/>
  <c r="T607" i="1"/>
  <c r="O607" i="1"/>
  <c r="S607" i="1" s="1"/>
  <c r="N607" i="1"/>
  <c r="R607" i="1" s="1"/>
  <c r="Z606" i="1"/>
  <c r="Y606" i="1"/>
  <c r="T606" i="1"/>
  <c r="O606" i="1"/>
  <c r="N606" i="1"/>
  <c r="AB605" i="1"/>
  <c r="Z605" i="1"/>
  <c r="Y605" i="1"/>
  <c r="T605" i="1"/>
  <c r="O605" i="1"/>
  <c r="S605" i="1" s="1"/>
  <c r="N605" i="1"/>
  <c r="AB604" i="1"/>
  <c r="Z604" i="1"/>
  <c r="Y604" i="1"/>
  <c r="T604" i="1"/>
  <c r="O604" i="1"/>
  <c r="S604" i="1" s="1"/>
  <c r="N604" i="1"/>
  <c r="Z603" i="1"/>
  <c r="Y603" i="1"/>
  <c r="T603" i="1"/>
  <c r="O603" i="1"/>
  <c r="N603" i="1"/>
  <c r="R603" i="1" s="1"/>
  <c r="Z602" i="1"/>
  <c r="Y602" i="1"/>
  <c r="T602" i="1"/>
  <c r="O602" i="1"/>
  <c r="S602" i="1" s="1"/>
  <c r="N602" i="1"/>
  <c r="R602" i="1" s="1"/>
  <c r="Z601" i="1"/>
  <c r="Y601" i="1"/>
  <c r="T601" i="1"/>
  <c r="O601" i="1"/>
  <c r="N601" i="1"/>
  <c r="R601" i="1" s="1"/>
  <c r="Z600" i="1"/>
  <c r="Y600" i="1"/>
  <c r="T600" i="1"/>
  <c r="O600" i="1"/>
  <c r="S600" i="1" s="1"/>
  <c r="N600" i="1"/>
  <c r="R600" i="1" s="1"/>
  <c r="Z599" i="1"/>
  <c r="J599" i="1" s="1"/>
  <c r="L599" i="1" s="1"/>
  <c r="Y599" i="1"/>
  <c r="T599" i="1"/>
  <c r="O599" i="1"/>
  <c r="N599" i="1"/>
  <c r="R599" i="1" s="1"/>
  <c r="Z598" i="1"/>
  <c r="Y598" i="1"/>
  <c r="T598" i="1"/>
  <c r="O598" i="1"/>
  <c r="S598" i="1" s="1"/>
  <c r="N598" i="1"/>
  <c r="R598" i="1" s="1"/>
  <c r="Z597" i="1"/>
  <c r="Y597" i="1"/>
  <c r="T597" i="1"/>
  <c r="O597" i="1"/>
  <c r="S597" i="1" s="1"/>
  <c r="N597" i="1"/>
  <c r="R597" i="1" s="1"/>
  <c r="Z596" i="1"/>
  <c r="Y596" i="1"/>
  <c r="T596" i="1"/>
  <c r="O596" i="1"/>
  <c r="S596" i="1" s="1"/>
  <c r="N596" i="1"/>
  <c r="R596" i="1" s="1"/>
  <c r="Z595" i="1"/>
  <c r="Y595" i="1"/>
  <c r="T595" i="1"/>
  <c r="O595" i="1"/>
  <c r="S595" i="1" s="1"/>
  <c r="N595" i="1"/>
  <c r="R595" i="1" s="1"/>
  <c r="Z594" i="1"/>
  <c r="Y594" i="1"/>
  <c r="T594" i="1"/>
  <c r="O594" i="1"/>
  <c r="S594" i="1" s="1"/>
  <c r="N594" i="1"/>
  <c r="R594" i="1" s="1"/>
  <c r="B594" i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Z593" i="1"/>
  <c r="Y593" i="1"/>
  <c r="T593" i="1"/>
  <c r="O593" i="1"/>
  <c r="S593" i="1" s="1"/>
  <c r="N593" i="1"/>
  <c r="Z592" i="1"/>
  <c r="Y592" i="1"/>
  <c r="T592" i="1"/>
  <c r="O592" i="1"/>
  <c r="S592" i="1" s="1"/>
  <c r="N592" i="1"/>
  <c r="AB591" i="1"/>
  <c r="Z591" i="1"/>
  <c r="Y591" i="1"/>
  <c r="T591" i="1"/>
  <c r="O591" i="1"/>
  <c r="S591" i="1" s="1"/>
  <c r="N591" i="1"/>
  <c r="Z590" i="1"/>
  <c r="J590" i="1" s="1"/>
  <c r="L590" i="1" s="1"/>
  <c r="Y590" i="1"/>
  <c r="T590" i="1"/>
  <c r="O590" i="1"/>
  <c r="S590" i="1" s="1"/>
  <c r="N590" i="1"/>
  <c r="R590" i="1" s="1"/>
  <c r="Z589" i="1"/>
  <c r="Y589" i="1"/>
  <c r="T589" i="1"/>
  <c r="O589" i="1"/>
  <c r="S589" i="1" s="1"/>
  <c r="N589" i="1"/>
  <c r="R589" i="1" s="1"/>
  <c r="Z588" i="1"/>
  <c r="Y588" i="1"/>
  <c r="T588" i="1"/>
  <c r="O588" i="1"/>
  <c r="S588" i="1" s="1"/>
  <c r="N588" i="1"/>
  <c r="Z587" i="1"/>
  <c r="Y587" i="1"/>
  <c r="T587" i="1"/>
  <c r="O587" i="1"/>
  <c r="S587" i="1" s="1"/>
  <c r="N587" i="1"/>
  <c r="R587" i="1" s="1"/>
  <c r="Z586" i="1"/>
  <c r="Y586" i="1"/>
  <c r="T586" i="1"/>
  <c r="O586" i="1"/>
  <c r="N586" i="1"/>
  <c r="R586" i="1" s="1"/>
  <c r="Z585" i="1"/>
  <c r="Y585" i="1"/>
  <c r="T585" i="1"/>
  <c r="O585" i="1"/>
  <c r="S585" i="1" s="1"/>
  <c r="N585" i="1"/>
  <c r="R585" i="1" s="1"/>
  <c r="Z584" i="1"/>
  <c r="Y584" i="1"/>
  <c r="T584" i="1"/>
  <c r="O584" i="1"/>
  <c r="S584" i="1" s="1"/>
  <c r="N584" i="1"/>
  <c r="Z583" i="1"/>
  <c r="Y583" i="1"/>
  <c r="T583" i="1"/>
  <c r="O583" i="1"/>
  <c r="S583" i="1" s="1"/>
  <c r="N583" i="1"/>
  <c r="R583" i="1" s="1"/>
  <c r="Z582" i="1"/>
  <c r="Y582" i="1"/>
  <c r="T582" i="1"/>
  <c r="O582" i="1"/>
  <c r="S582" i="1" s="1"/>
  <c r="N582" i="1"/>
  <c r="R582" i="1" s="1"/>
  <c r="Z581" i="1"/>
  <c r="Y581" i="1"/>
  <c r="T581" i="1"/>
  <c r="O581" i="1"/>
  <c r="S581" i="1" s="1"/>
  <c r="N581" i="1"/>
  <c r="R581" i="1" s="1"/>
  <c r="Z580" i="1"/>
  <c r="Y580" i="1"/>
  <c r="T580" i="1"/>
  <c r="O580" i="1"/>
  <c r="S580" i="1" s="1"/>
  <c r="N580" i="1"/>
  <c r="AB579" i="1"/>
  <c r="Z579" i="1"/>
  <c r="Y579" i="1"/>
  <c r="T579" i="1"/>
  <c r="O579" i="1"/>
  <c r="S579" i="1" s="1"/>
  <c r="N579" i="1"/>
  <c r="R579" i="1" s="1"/>
  <c r="Z578" i="1"/>
  <c r="Y578" i="1"/>
  <c r="T578" i="1"/>
  <c r="O578" i="1"/>
  <c r="S578" i="1" s="1"/>
  <c r="N578" i="1"/>
  <c r="AB577" i="1"/>
  <c r="Z577" i="1"/>
  <c r="Y577" i="1"/>
  <c r="T577" i="1"/>
  <c r="O577" i="1"/>
  <c r="S577" i="1" s="1"/>
  <c r="N577" i="1"/>
  <c r="R577" i="1" s="1"/>
  <c r="AB576" i="1"/>
  <c r="Z576" i="1"/>
  <c r="Y576" i="1"/>
  <c r="T576" i="1"/>
  <c r="O576" i="1"/>
  <c r="S576" i="1" s="1"/>
  <c r="N576" i="1"/>
  <c r="AB575" i="1"/>
  <c r="Z575" i="1"/>
  <c r="Y575" i="1"/>
  <c r="T575" i="1"/>
  <c r="O575" i="1"/>
  <c r="S575" i="1" s="1"/>
  <c r="N575" i="1"/>
  <c r="R575" i="1" s="1"/>
  <c r="Z574" i="1"/>
  <c r="Y574" i="1"/>
  <c r="T574" i="1"/>
  <c r="O574" i="1"/>
  <c r="S574" i="1" s="1"/>
  <c r="N574" i="1"/>
  <c r="R574" i="1" s="1"/>
  <c r="AB573" i="1"/>
  <c r="Z573" i="1"/>
  <c r="Y573" i="1"/>
  <c r="T573" i="1"/>
  <c r="O573" i="1"/>
  <c r="S573" i="1" s="1"/>
  <c r="N573" i="1"/>
  <c r="Z572" i="1"/>
  <c r="Y572" i="1"/>
  <c r="T572" i="1"/>
  <c r="O572" i="1"/>
  <c r="S572" i="1" s="1"/>
  <c r="N572" i="1"/>
  <c r="X571" i="1"/>
  <c r="T571" i="1" s="1"/>
  <c r="W571" i="1"/>
  <c r="V571" i="1"/>
  <c r="O571" i="1"/>
  <c r="N571" i="1"/>
  <c r="Z570" i="1"/>
  <c r="Y570" i="1"/>
  <c r="T570" i="1"/>
  <c r="O570" i="1"/>
  <c r="S570" i="1" s="1"/>
  <c r="N570" i="1"/>
  <c r="R570" i="1" s="1"/>
  <c r="AB569" i="1"/>
  <c r="Z569" i="1"/>
  <c r="Y569" i="1"/>
  <c r="T569" i="1"/>
  <c r="O569" i="1"/>
  <c r="S569" i="1" s="1"/>
  <c r="N569" i="1"/>
  <c r="Z568" i="1"/>
  <c r="Y568" i="1"/>
  <c r="T568" i="1"/>
  <c r="O568" i="1"/>
  <c r="S568" i="1" s="1"/>
  <c r="N568" i="1"/>
  <c r="Z567" i="1"/>
  <c r="Y567" i="1"/>
  <c r="T567" i="1"/>
  <c r="O567" i="1"/>
  <c r="S567" i="1" s="1"/>
  <c r="N567" i="1"/>
  <c r="Z566" i="1"/>
  <c r="Y566" i="1"/>
  <c r="T566" i="1"/>
  <c r="O566" i="1"/>
  <c r="S566" i="1" s="1"/>
  <c r="N566" i="1"/>
  <c r="Z565" i="1"/>
  <c r="Y565" i="1"/>
  <c r="T565" i="1"/>
  <c r="O565" i="1"/>
  <c r="S565" i="1" s="1"/>
  <c r="N565" i="1"/>
  <c r="Z564" i="1"/>
  <c r="Y564" i="1"/>
  <c r="T564" i="1"/>
  <c r="O564" i="1"/>
  <c r="S564" i="1" s="1"/>
  <c r="N564" i="1"/>
  <c r="Z563" i="1"/>
  <c r="Y563" i="1"/>
  <c r="T563" i="1"/>
  <c r="O563" i="1"/>
  <c r="S563" i="1" s="1"/>
  <c r="N563" i="1"/>
  <c r="Z562" i="1"/>
  <c r="Y562" i="1"/>
  <c r="T562" i="1"/>
  <c r="O562" i="1"/>
  <c r="S562" i="1" s="1"/>
  <c r="N562" i="1"/>
  <c r="R562" i="1" s="1"/>
  <c r="AB561" i="1"/>
  <c r="Z561" i="1"/>
  <c r="Y561" i="1"/>
  <c r="T561" i="1"/>
  <c r="O561" i="1"/>
  <c r="S561" i="1" s="1"/>
  <c r="N561" i="1"/>
  <c r="Z560" i="1"/>
  <c r="Y560" i="1"/>
  <c r="T560" i="1"/>
  <c r="O560" i="1"/>
  <c r="S560" i="1" s="1"/>
  <c r="N560" i="1"/>
  <c r="Z559" i="1"/>
  <c r="Y559" i="1"/>
  <c r="T559" i="1"/>
  <c r="O559" i="1"/>
  <c r="S559" i="1" s="1"/>
  <c r="N559" i="1"/>
  <c r="R559" i="1" s="1"/>
  <c r="Z558" i="1"/>
  <c r="Y558" i="1"/>
  <c r="T558" i="1"/>
  <c r="O558" i="1"/>
  <c r="S558" i="1" s="1"/>
  <c r="N558" i="1"/>
  <c r="R558" i="1" s="1"/>
  <c r="V557" i="1"/>
  <c r="Z557" i="1" s="1"/>
  <c r="T557" i="1"/>
  <c r="O557" i="1"/>
  <c r="S557" i="1" s="1"/>
  <c r="N557" i="1"/>
  <c r="AB556" i="1"/>
  <c r="Z556" i="1"/>
  <c r="Y556" i="1"/>
  <c r="T556" i="1"/>
  <c r="O556" i="1"/>
  <c r="S556" i="1" s="1"/>
  <c r="N556" i="1"/>
  <c r="Z555" i="1"/>
  <c r="Y555" i="1"/>
  <c r="T555" i="1"/>
  <c r="O555" i="1"/>
  <c r="S555" i="1" s="1"/>
  <c r="N555" i="1"/>
  <c r="Z554" i="1"/>
  <c r="Y554" i="1"/>
  <c r="T554" i="1"/>
  <c r="O554" i="1"/>
  <c r="S554" i="1" s="1"/>
  <c r="N554" i="1"/>
  <c r="R554" i="1" s="1"/>
  <c r="W553" i="1"/>
  <c r="V553" i="1"/>
  <c r="Z553" i="1" s="1"/>
  <c r="T553" i="1"/>
  <c r="O553" i="1"/>
  <c r="N553" i="1"/>
  <c r="AB552" i="1"/>
  <c r="Z552" i="1"/>
  <c r="Y552" i="1"/>
  <c r="T552" i="1"/>
  <c r="O552" i="1"/>
  <c r="S552" i="1" s="1"/>
  <c r="N552" i="1"/>
  <c r="Z551" i="1"/>
  <c r="Y551" i="1"/>
  <c r="T551" i="1"/>
  <c r="O551" i="1"/>
  <c r="S551" i="1" s="1"/>
  <c r="N551" i="1"/>
  <c r="Z550" i="1"/>
  <c r="Y550" i="1"/>
  <c r="T550" i="1"/>
  <c r="O550" i="1"/>
  <c r="S550" i="1" s="1"/>
  <c r="N550" i="1"/>
  <c r="R550" i="1" s="1"/>
  <c r="Z549" i="1"/>
  <c r="Y549" i="1"/>
  <c r="T549" i="1"/>
  <c r="O549" i="1"/>
  <c r="S549" i="1" s="1"/>
  <c r="N549" i="1"/>
  <c r="Z548" i="1"/>
  <c r="Y548" i="1"/>
  <c r="T548" i="1"/>
  <c r="O548" i="1"/>
  <c r="S548" i="1" s="1"/>
  <c r="N548" i="1"/>
  <c r="Z547" i="1"/>
  <c r="Y547" i="1"/>
  <c r="T547" i="1"/>
  <c r="O547" i="1"/>
  <c r="S547" i="1" s="1"/>
  <c r="N547" i="1"/>
  <c r="R547" i="1" s="1"/>
  <c r="Z546" i="1"/>
  <c r="Y546" i="1"/>
  <c r="T546" i="1"/>
  <c r="O546" i="1"/>
  <c r="S546" i="1" s="1"/>
  <c r="N546" i="1"/>
  <c r="R546" i="1" s="1"/>
  <c r="Z545" i="1"/>
  <c r="Y545" i="1"/>
  <c r="T545" i="1"/>
  <c r="O545" i="1"/>
  <c r="S545" i="1" s="1"/>
  <c r="N545" i="1"/>
  <c r="R545" i="1" s="1"/>
  <c r="Z544" i="1"/>
  <c r="Y544" i="1"/>
  <c r="T544" i="1"/>
  <c r="O544" i="1"/>
  <c r="S544" i="1" s="1"/>
  <c r="N544" i="1"/>
  <c r="R544" i="1" s="1"/>
  <c r="Z543" i="1"/>
  <c r="Y543" i="1"/>
  <c r="T543" i="1"/>
  <c r="O543" i="1"/>
  <c r="S543" i="1" s="1"/>
  <c r="N543" i="1"/>
  <c r="Z542" i="1"/>
  <c r="Y542" i="1"/>
  <c r="T542" i="1"/>
  <c r="O542" i="1"/>
  <c r="S542" i="1" s="1"/>
  <c r="N542" i="1"/>
  <c r="R542" i="1" s="1"/>
  <c r="Z541" i="1"/>
  <c r="Y541" i="1"/>
  <c r="T541" i="1"/>
  <c r="O541" i="1"/>
  <c r="S541" i="1" s="1"/>
  <c r="N541" i="1"/>
  <c r="R541" i="1" s="1"/>
  <c r="Z540" i="1"/>
  <c r="Y540" i="1"/>
  <c r="T540" i="1"/>
  <c r="O540" i="1"/>
  <c r="S540" i="1" s="1"/>
  <c r="N540" i="1"/>
  <c r="R540" i="1" s="1"/>
  <c r="AB539" i="1"/>
  <c r="Z539" i="1"/>
  <c r="Y539" i="1"/>
  <c r="T539" i="1"/>
  <c r="O539" i="1"/>
  <c r="S539" i="1" s="1"/>
  <c r="N539" i="1"/>
  <c r="R539" i="1" s="1"/>
  <c r="Z538" i="1"/>
  <c r="Y538" i="1"/>
  <c r="T538" i="1"/>
  <c r="O538" i="1"/>
  <c r="S538" i="1" s="1"/>
  <c r="N538" i="1"/>
  <c r="R538" i="1" s="1"/>
  <c r="V537" i="1"/>
  <c r="T537" i="1"/>
  <c r="O537" i="1"/>
  <c r="S537" i="1" s="1"/>
  <c r="N537" i="1"/>
  <c r="Z536" i="1"/>
  <c r="Y536" i="1"/>
  <c r="T536" i="1"/>
  <c r="O536" i="1"/>
  <c r="S536" i="1" s="1"/>
  <c r="N536" i="1"/>
  <c r="R536" i="1" s="1"/>
  <c r="AB535" i="1"/>
  <c r="Z535" i="1"/>
  <c r="Y535" i="1"/>
  <c r="T535" i="1"/>
  <c r="O535" i="1"/>
  <c r="S535" i="1" s="1"/>
  <c r="N535" i="1"/>
  <c r="AB534" i="1"/>
  <c r="Z534" i="1"/>
  <c r="Y534" i="1"/>
  <c r="T534" i="1"/>
  <c r="O534" i="1"/>
  <c r="S534" i="1" s="1"/>
  <c r="N534" i="1"/>
  <c r="R534" i="1" s="1"/>
  <c r="Z533" i="1"/>
  <c r="Y533" i="1"/>
  <c r="T533" i="1"/>
  <c r="O533" i="1"/>
  <c r="S533" i="1" s="1"/>
  <c r="N533" i="1"/>
  <c r="R533" i="1" s="1"/>
  <c r="Z532" i="1"/>
  <c r="Y532" i="1"/>
  <c r="T532" i="1"/>
  <c r="O532" i="1"/>
  <c r="S532" i="1" s="1"/>
  <c r="N532" i="1"/>
  <c r="Z531" i="1"/>
  <c r="Y531" i="1"/>
  <c r="T531" i="1"/>
  <c r="O531" i="1"/>
  <c r="S531" i="1" s="1"/>
  <c r="N531" i="1"/>
  <c r="X530" i="1"/>
  <c r="T530" i="1" s="1"/>
  <c r="W530" i="1"/>
  <c r="V530" i="1"/>
  <c r="Z530" i="1" s="1"/>
  <c r="O530" i="1"/>
  <c r="N530" i="1"/>
  <c r="Z529" i="1"/>
  <c r="Y529" i="1"/>
  <c r="T529" i="1"/>
  <c r="O529" i="1"/>
  <c r="S529" i="1" s="1"/>
  <c r="N529" i="1"/>
  <c r="R529" i="1" s="1"/>
  <c r="AB528" i="1"/>
  <c r="Z528" i="1"/>
  <c r="J528" i="1" s="1"/>
  <c r="L528" i="1" s="1"/>
  <c r="Y528" i="1"/>
  <c r="T528" i="1"/>
  <c r="O528" i="1"/>
  <c r="S528" i="1" s="1"/>
  <c r="N528" i="1"/>
  <c r="R528" i="1" s="1"/>
  <c r="Z527" i="1"/>
  <c r="Y527" i="1"/>
  <c r="T527" i="1"/>
  <c r="O527" i="1"/>
  <c r="S527" i="1" s="1"/>
  <c r="N527" i="1"/>
  <c r="R527" i="1" s="1"/>
  <c r="Z526" i="1"/>
  <c r="Y526" i="1"/>
  <c r="T526" i="1"/>
  <c r="O526" i="1"/>
  <c r="S526" i="1" s="1"/>
  <c r="N526" i="1"/>
  <c r="R526" i="1" s="1"/>
  <c r="Z525" i="1"/>
  <c r="Y525" i="1"/>
  <c r="T525" i="1"/>
  <c r="O525" i="1"/>
  <c r="S525" i="1" s="1"/>
  <c r="N525" i="1"/>
  <c r="Z524" i="1"/>
  <c r="Y524" i="1"/>
  <c r="T524" i="1"/>
  <c r="O524" i="1"/>
  <c r="S524" i="1" s="1"/>
  <c r="N524" i="1"/>
  <c r="R524" i="1" s="1"/>
  <c r="Z523" i="1"/>
  <c r="Y523" i="1"/>
  <c r="T523" i="1"/>
  <c r="O523" i="1"/>
  <c r="N523" i="1"/>
  <c r="R523" i="1" s="1"/>
  <c r="Z522" i="1"/>
  <c r="Y522" i="1"/>
  <c r="T522" i="1"/>
  <c r="O522" i="1"/>
  <c r="S522" i="1" s="1"/>
  <c r="N522" i="1"/>
  <c r="AB521" i="1"/>
  <c r="Z521" i="1"/>
  <c r="Y521" i="1"/>
  <c r="T521" i="1"/>
  <c r="O521" i="1"/>
  <c r="S521" i="1" s="1"/>
  <c r="N521" i="1"/>
  <c r="R521" i="1" s="1"/>
  <c r="Z520" i="1"/>
  <c r="Y520" i="1"/>
  <c r="T520" i="1"/>
  <c r="O520" i="1"/>
  <c r="S520" i="1" s="1"/>
  <c r="N520" i="1"/>
  <c r="R520" i="1" s="1"/>
  <c r="Z519" i="1"/>
  <c r="Y519" i="1"/>
  <c r="T519" i="1"/>
  <c r="O519" i="1"/>
  <c r="S519" i="1" s="1"/>
  <c r="N519" i="1"/>
  <c r="R519" i="1" s="1"/>
  <c r="Z518" i="1"/>
  <c r="Y518" i="1"/>
  <c r="T518" i="1"/>
  <c r="O518" i="1"/>
  <c r="S518" i="1" s="1"/>
  <c r="N518" i="1"/>
  <c r="R518" i="1" s="1"/>
  <c r="Z517" i="1"/>
  <c r="Y517" i="1"/>
  <c r="T517" i="1"/>
  <c r="O517" i="1"/>
  <c r="S517" i="1" s="1"/>
  <c r="N517" i="1"/>
  <c r="Z516" i="1"/>
  <c r="Y516" i="1"/>
  <c r="T516" i="1"/>
  <c r="O516" i="1"/>
  <c r="S516" i="1" s="1"/>
  <c r="N516" i="1"/>
  <c r="R516" i="1" s="1"/>
  <c r="AB515" i="1"/>
  <c r="Z515" i="1"/>
  <c r="Y515" i="1"/>
  <c r="T515" i="1"/>
  <c r="O515" i="1"/>
  <c r="N515" i="1"/>
  <c r="R515" i="1" s="1"/>
  <c r="Z514" i="1"/>
  <c r="Y514" i="1"/>
  <c r="T514" i="1"/>
  <c r="O514" i="1"/>
  <c r="S514" i="1" s="1"/>
  <c r="N514" i="1"/>
  <c r="Z513" i="1"/>
  <c r="Y513" i="1"/>
  <c r="T513" i="1"/>
  <c r="O513" i="1"/>
  <c r="S513" i="1" s="1"/>
  <c r="N513" i="1"/>
  <c r="Z512" i="1"/>
  <c r="Y512" i="1"/>
  <c r="T512" i="1"/>
  <c r="O512" i="1"/>
  <c r="S512" i="1" s="1"/>
  <c r="N512" i="1"/>
  <c r="Z511" i="1"/>
  <c r="Y511" i="1"/>
  <c r="T511" i="1"/>
  <c r="O511" i="1"/>
  <c r="S511" i="1" s="1"/>
  <c r="N511" i="1"/>
  <c r="R511" i="1" s="1"/>
  <c r="Z510" i="1"/>
  <c r="Y510" i="1"/>
  <c r="T510" i="1"/>
  <c r="O510" i="1"/>
  <c r="S510" i="1" s="1"/>
  <c r="N510" i="1"/>
  <c r="AB509" i="1"/>
  <c r="Z509" i="1"/>
  <c r="Y509" i="1"/>
  <c r="T509" i="1"/>
  <c r="O509" i="1"/>
  <c r="S509" i="1" s="1"/>
  <c r="N509" i="1"/>
  <c r="Z508" i="1"/>
  <c r="Y508" i="1"/>
  <c r="T508" i="1"/>
  <c r="O508" i="1"/>
  <c r="S508" i="1" s="1"/>
  <c r="N508" i="1"/>
  <c r="AB507" i="1"/>
  <c r="Z507" i="1"/>
  <c r="Y507" i="1"/>
  <c r="T507" i="1"/>
  <c r="O507" i="1"/>
  <c r="S507" i="1" s="1"/>
  <c r="N507" i="1"/>
  <c r="Z506" i="1"/>
  <c r="Y506" i="1"/>
  <c r="T506" i="1"/>
  <c r="O506" i="1"/>
  <c r="S506" i="1" s="1"/>
  <c r="N506" i="1"/>
  <c r="R506" i="1" s="1"/>
  <c r="Z505" i="1"/>
  <c r="Y505" i="1"/>
  <c r="T505" i="1"/>
  <c r="O505" i="1"/>
  <c r="S505" i="1" s="1"/>
  <c r="N505" i="1"/>
  <c r="R505" i="1" s="1"/>
  <c r="Z504" i="1"/>
  <c r="Y504" i="1"/>
  <c r="T504" i="1"/>
  <c r="O504" i="1"/>
  <c r="S504" i="1" s="1"/>
  <c r="N504" i="1"/>
  <c r="Z503" i="1"/>
  <c r="Y503" i="1"/>
  <c r="T503" i="1"/>
  <c r="O503" i="1"/>
  <c r="N503" i="1"/>
  <c r="R503" i="1" s="1"/>
  <c r="Z502" i="1"/>
  <c r="Y502" i="1"/>
  <c r="T502" i="1"/>
  <c r="O502" i="1"/>
  <c r="S502" i="1" s="1"/>
  <c r="N502" i="1"/>
  <c r="R502" i="1" s="1"/>
  <c r="Z501" i="1"/>
  <c r="Y501" i="1"/>
  <c r="T501" i="1"/>
  <c r="O501" i="1"/>
  <c r="S501" i="1" s="1"/>
  <c r="N501" i="1"/>
  <c r="R501" i="1" s="1"/>
  <c r="AB500" i="1"/>
  <c r="Z500" i="1"/>
  <c r="Y500" i="1"/>
  <c r="T500" i="1"/>
  <c r="O500" i="1"/>
  <c r="S500" i="1" s="1"/>
  <c r="N500" i="1"/>
  <c r="R500" i="1" s="1"/>
  <c r="AB499" i="1"/>
  <c r="Z499" i="1"/>
  <c r="Y499" i="1"/>
  <c r="T499" i="1"/>
  <c r="O499" i="1"/>
  <c r="S499" i="1" s="1"/>
  <c r="N499" i="1"/>
  <c r="R499" i="1" s="1"/>
  <c r="Z498" i="1"/>
  <c r="Y498" i="1"/>
  <c r="T498" i="1"/>
  <c r="O498" i="1"/>
  <c r="S498" i="1" s="1"/>
  <c r="N498" i="1"/>
  <c r="Z497" i="1"/>
  <c r="Y497" i="1"/>
  <c r="T497" i="1"/>
  <c r="O497" i="1"/>
  <c r="S497" i="1" s="1"/>
  <c r="N497" i="1"/>
  <c r="Z496" i="1"/>
  <c r="Y496" i="1"/>
  <c r="T496" i="1"/>
  <c r="O496" i="1"/>
  <c r="S496" i="1" s="1"/>
  <c r="N496" i="1"/>
  <c r="R496" i="1" s="1"/>
  <c r="AB495" i="1"/>
  <c r="Z495" i="1"/>
  <c r="Y495" i="1"/>
  <c r="T495" i="1"/>
  <c r="O495" i="1"/>
  <c r="S495" i="1" s="1"/>
  <c r="N495" i="1"/>
  <c r="Z494" i="1"/>
  <c r="Y494" i="1"/>
  <c r="T494" i="1"/>
  <c r="O494" i="1"/>
  <c r="S494" i="1" s="1"/>
  <c r="N494" i="1"/>
  <c r="Z493" i="1"/>
  <c r="Y493" i="1"/>
  <c r="T493" i="1"/>
  <c r="O493" i="1"/>
  <c r="S493" i="1" s="1"/>
  <c r="N493" i="1"/>
  <c r="Z492" i="1"/>
  <c r="Y492" i="1"/>
  <c r="T492" i="1"/>
  <c r="O492" i="1"/>
  <c r="S492" i="1" s="1"/>
  <c r="N492" i="1"/>
  <c r="Z491" i="1"/>
  <c r="Y491" i="1"/>
  <c r="T491" i="1"/>
  <c r="O491" i="1"/>
  <c r="S491" i="1" s="1"/>
  <c r="N491" i="1"/>
  <c r="R491" i="1" s="1"/>
  <c r="Z490" i="1"/>
  <c r="Y490" i="1"/>
  <c r="T490" i="1"/>
  <c r="O490" i="1"/>
  <c r="S490" i="1" s="1"/>
  <c r="N490" i="1"/>
  <c r="R490" i="1" s="1"/>
  <c r="AB489" i="1"/>
  <c r="X489" i="1"/>
  <c r="T489" i="1" s="1"/>
  <c r="W489" i="1"/>
  <c r="V489" i="1"/>
  <c r="Z489" i="1" s="1"/>
  <c r="O489" i="1"/>
  <c r="N489" i="1"/>
  <c r="Z488" i="1"/>
  <c r="Y488" i="1"/>
  <c r="T488" i="1"/>
  <c r="O488" i="1"/>
  <c r="S488" i="1" s="1"/>
  <c r="N488" i="1"/>
  <c r="R488" i="1" s="1"/>
  <c r="Z487" i="1"/>
  <c r="Y487" i="1"/>
  <c r="T487" i="1"/>
  <c r="O487" i="1"/>
  <c r="S487" i="1" s="1"/>
  <c r="N487" i="1"/>
  <c r="Z486" i="1"/>
  <c r="Y486" i="1"/>
  <c r="T486" i="1"/>
  <c r="O486" i="1"/>
  <c r="S486" i="1" s="1"/>
  <c r="N486" i="1"/>
  <c r="Z485" i="1"/>
  <c r="Y485" i="1"/>
  <c r="T485" i="1"/>
  <c r="O485" i="1"/>
  <c r="S485" i="1" s="1"/>
  <c r="N485" i="1"/>
  <c r="R485" i="1" s="1"/>
  <c r="Z484" i="1"/>
  <c r="Y484" i="1"/>
  <c r="T484" i="1"/>
  <c r="O484" i="1"/>
  <c r="S484" i="1" s="1"/>
  <c r="N484" i="1"/>
  <c r="R484" i="1" s="1"/>
  <c r="X483" i="1"/>
  <c r="T483" i="1" s="1"/>
  <c r="W483" i="1"/>
  <c r="V483" i="1"/>
  <c r="O483" i="1"/>
  <c r="N483" i="1"/>
  <c r="Z482" i="1"/>
  <c r="Y482" i="1"/>
  <c r="T482" i="1"/>
  <c r="O482" i="1"/>
  <c r="S482" i="1" s="1"/>
  <c r="N482" i="1"/>
  <c r="R482" i="1" s="1"/>
  <c r="Z481" i="1"/>
  <c r="Y481" i="1"/>
  <c r="T481" i="1"/>
  <c r="O481" i="1"/>
  <c r="S481" i="1" s="1"/>
  <c r="N481" i="1"/>
  <c r="R481" i="1" s="1"/>
  <c r="Z480" i="1"/>
  <c r="Y480" i="1"/>
  <c r="T480" i="1"/>
  <c r="O480" i="1"/>
  <c r="S480" i="1" s="1"/>
  <c r="N480" i="1"/>
  <c r="Z479" i="1"/>
  <c r="Y479" i="1"/>
  <c r="T479" i="1"/>
  <c r="O479" i="1"/>
  <c r="S479" i="1" s="1"/>
  <c r="N479" i="1"/>
  <c r="Z478" i="1"/>
  <c r="Y478" i="1"/>
  <c r="T478" i="1"/>
  <c r="O478" i="1"/>
  <c r="S478" i="1" s="1"/>
  <c r="N478" i="1"/>
  <c r="Z477" i="1"/>
  <c r="Y477" i="1"/>
  <c r="T477" i="1"/>
  <c r="O477" i="1"/>
  <c r="S477" i="1" s="1"/>
  <c r="N477" i="1"/>
  <c r="Z476" i="1"/>
  <c r="Y476" i="1"/>
  <c r="T476" i="1"/>
  <c r="O476" i="1"/>
  <c r="S476" i="1" s="1"/>
  <c r="N476" i="1"/>
  <c r="R476" i="1" s="1"/>
  <c r="Z475" i="1"/>
  <c r="Y475" i="1"/>
  <c r="T475" i="1"/>
  <c r="O475" i="1"/>
  <c r="S475" i="1" s="1"/>
  <c r="N475" i="1"/>
  <c r="Z474" i="1"/>
  <c r="Y474" i="1"/>
  <c r="T474" i="1"/>
  <c r="O474" i="1"/>
  <c r="S474" i="1" s="1"/>
  <c r="N474" i="1"/>
  <c r="R474" i="1" s="1"/>
  <c r="Z473" i="1"/>
  <c r="Y473" i="1"/>
  <c r="T473" i="1"/>
  <c r="O473" i="1"/>
  <c r="S473" i="1" s="1"/>
  <c r="N473" i="1"/>
  <c r="R473" i="1" s="1"/>
  <c r="AB472" i="1"/>
  <c r="Z472" i="1"/>
  <c r="Y472" i="1"/>
  <c r="T472" i="1"/>
  <c r="O472" i="1"/>
  <c r="S472" i="1" s="1"/>
  <c r="N472" i="1"/>
  <c r="AB471" i="1"/>
  <c r="W471" i="1"/>
  <c r="V471" i="1"/>
  <c r="Z471" i="1" s="1"/>
  <c r="T471" i="1"/>
  <c r="O471" i="1"/>
  <c r="N471" i="1"/>
  <c r="Z470" i="1"/>
  <c r="Y470" i="1"/>
  <c r="T470" i="1"/>
  <c r="O470" i="1"/>
  <c r="S470" i="1" s="1"/>
  <c r="N470" i="1"/>
  <c r="R470" i="1" s="1"/>
  <c r="Z469" i="1"/>
  <c r="Y469" i="1"/>
  <c r="T469" i="1"/>
  <c r="O469" i="1"/>
  <c r="S469" i="1" s="1"/>
  <c r="N469" i="1"/>
  <c r="R469" i="1" s="1"/>
  <c r="Z468" i="1"/>
  <c r="Y468" i="1"/>
  <c r="T468" i="1"/>
  <c r="O468" i="1"/>
  <c r="S468" i="1" s="1"/>
  <c r="N468" i="1"/>
  <c r="Z467" i="1"/>
  <c r="Y467" i="1"/>
  <c r="T467" i="1"/>
  <c r="O467" i="1"/>
  <c r="S467" i="1" s="1"/>
  <c r="N467" i="1"/>
  <c r="AB466" i="1"/>
  <c r="Z466" i="1"/>
  <c r="Y466" i="1"/>
  <c r="T466" i="1"/>
  <c r="O466" i="1"/>
  <c r="S466" i="1" s="1"/>
  <c r="N466" i="1"/>
  <c r="Z465" i="1"/>
  <c r="Y465" i="1"/>
  <c r="T465" i="1"/>
  <c r="O465" i="1"/>
  <c r="S465" i="1" s="1"/>
  <c r="N465" i="1"/>
  <c r="R465" i="1" s="1"/>
  <c r="Z464" i="1"/>
  <c r="Y464" i="1"/>
  <c r="T464" i="1"/>
  <c r="O464" i="1"/>
  <c r="S464" i="1" s="1"/>
  <c r="N464" i="1"/>
  <c r="R464" i="1" s="1"/>
  <c r="Z463" i="1"/>
  <c r="Y463" i="1"/>
  <c r="T463" i="1"/>
  <c r="O463" i="1"/>
  <c r="S463" i="1" s="1"/>
  <c r="N463" i="1"/>
  <c r="R463" i="1" s="1"/>
  <c r="AB462" i="1"/>
  <c r="Z462" i="1"/>
  <c r="Y462" i="1"/>
  <c r="T462" i="1"/>
  <c r="O462" i="1"/>
  <c r="S462" i="1" s="1"/>
  <c r="N462" i="1"/>
  <c r="Z461" i="1"/>
  <c r="Y461" i="1"/>
  <c r="T461" i="1"/>
  <c r="O461" i="1"/>
  <c r="S461" i="1" s="1"/>
  <c r="N461" i="1"/>
  <c r="R461" i="1" s="1"/>
  <c r="W460" i="1"/>
  <c r="V460" i="1"/>
  <c r="Z460" i="1" s="1"/>
  <c r="T460" i="1"/>
  <c r="O460" i="1"/>
  <c r="N460" i="1"/>
  <c r="Z459" i="1"/>
  <c r="Y459" i="1"/>
  <c r="T459" i="1"/>
  <c r="O459" i="1"/>
  <c r="S459" i="1" s="1"/>
  <c r="N459" i="1"/>
  <c r="R459" i="1" s="1"/>
  <c r="Z458" i="1"/>
  <c r="Y458" i="1"/>
  <c r="T458" i="1"/>
  <c r="O458" i="1"/>
  <c r="S458" i="1" s="1"/>
  <c r="N458" i="1"/>
  <c r="R458" i="1" s="1"/>
  <c r="Z457" i="1"/>
  <c r="Y457" i="1"/>
  <c r="T457" i="1"/>
  <c r="O457" i="1"/>
  <c r="S457" i="1" s="1"/>
  <c r="N457" i="1"/>
  <c r="R457" i="1" s="1"/>
  <c r="Z456" i="1"/>
  <c r="Y456" i="1"/>
  <c r="T456" i="1"/>
  <c r="O456" i="1"/>
  <c r="S456" i="1" s="1"/>
  <c r="N456" i="1"/>
  <c r="R456" i="1" s="1"/>
  <c r="Z455" i="1"/>
  <c r="Y455" i="1"/>
  <c r="T455" i="1"/>
  <c r="O455" i="1"/>
  <c r="S455" i="1" s="1"/>
  <c r="N455" i="1"/>
  <c r="R455" i="1" s="1"/>
  <c r="AB454" i="1"/>
  <c r="Z454" i="1"/>
  <c r="Y454" i="1"/>
  <c r="T454" i="1"/>
  <c r="O454" i="1"/>
  <c r="S454" i="1" s="1"/>
  <c r="N454" i="1"/>
  <c r="R454" i="1" s="1"/>
  <c r="Z453" i="1"/>
  <c r="Y453" i="1"/>
  <c r="T453" i="1"/>
  <c r="O453" i="1"/>
  <c r="S453" i="1" s="1"/>
  <c r="N453" i="1"/>
  <c r="R453" i="1" s="1"/>
  <c r="Z452" i="1"/>
  <c r="Y452" i="1"/>
  <c r="T452" i="1"/>
  <c r="O452" i="1"/>
  <c r="S452" i="1" s="1"/>
  <c r="N452" i="1"/>
  <c r="R452" i="1" s="1"/>
  <c r="AB451" i="1"/>
  <c r="Z451" i="1"/>
  <c r="Y451" i="1"/>
  <c r="T451" i="1"/>
  <c r="O451" i="1"/>
  <c r="S451" i="1" s="1"/>
  <c r="N451" i="1"/>
  <c r="R451" i="1" s="1"/>
  <c r="AB450" i="1"/>
  <c r="W450" i="1"/>
  <c r="V450" i="1"/>
  <c r="T450" i="1"/>
  <c r="O450" i="1"/>
  <c r="N450" i="1"/>
  <c r="AB449" i="1"/>
  <c r="Z449" i="1"/>
  <c r="Y449" i="1"/>
  <c r="T449" i="1"/>
  <c r="O449" i="1"/>
  <c r="S449" i="1" s="1"/>
  <c r="N449" i="1"/>
  <c r="R449" i="1" s="1"/>
  <c r="Z448" i="1"/>
  <c r="Y448" i="1"/>
  <c r="T448" i="1"/>
  <c r="O448" i="1"/>
  <c r="S448" i="1" s="1"/>
  <c r="N448" i="1"/>
  <c r="AB447" i="1"/>
  <c r="V447" i="1"/>
  <c r="Z447" i="1" s="1"/>
  <c r="T447" i="1"/>
  <c r="O447" i="1"/>
  <c r="S447" i="1" s="1"/>
  <c r="N447" i="1"/>
  <c r="V446" i="1"/>
  <c r="T446" i="1"/>
  <c r="O446" i="1"/>
  <c r="S446" i="1" s="1"/>
  <c r="N446" i="1"/>
  <c r="V445" i="1"/>
  <c r="Z445" i="1" s="1"/>
  <c r="T445" i="1"/>
  <c r="O445" i="1"/>
  <c r="S445" i="1" s="1"/>
  <c r="N445" i="1"/>
  <c r="V444" i="1"/>
  <c r="Z444" i="1" s="1"/>
  <c r="T444" i="1"/>
  <c r="O444" i="1"/>
  <c r="S444" i="1" s="1"/>
  <c r="N444" i="1"/>
  <c r="AB443" i="1"/>
  <c r="Z443" i="1"/>
  <c r="Y443" i="1"/>
  <c r="T443" i="1"/>
  <c r="O443" i="1"/>
  <c r="S443" i="1" s="1"/>
  <c r="N443" i="1"/>
  <c r="AB442" i="1"/>
  <c r="Z442" i="1"/>
  <c r="Y442" i="1"/>
  <c r="T442" i="1"/>
  <c r="O442" i="1"/>
  <c r="S442" i="1" s="1"/>
  <c r="N442" i="1"/>
  <c r="W441" i="1"/>
  <c r="V441" i="1"/>
  <c r="T441" i="1"/>
  <c r="O441" i="1"/>
  <c r="N441" i="1"/>
  <c r="AB440" i="1"/>
  <c r="Z440" i="1"/>
  <c r="Y440" i="1"/>
  <c r="T440" i="1"/>
  <c r="O440" i="1"/>
  <c r="S440" i="1" s="1"/>
  <c r="N440" i="1"/>
  <c r="R440" i="1" s="1"/>
  <c r="Z439" i="1"/>
  <c r="Y439" i="1"/>
  <c r="T439" i="1"/>
  <c r="O439" i="1"/>
  <c r="S439" i="1" s="1"/>
  <c r="N439" i="1"/>
  <c r="R439" i="1" s="1"/>
  <c r="Z438" i="1"/>
  <c r="Y438" i="1"/>
  <c r="T438" i="1"/>
  <c r="O438" i="1"/>
  <c r="S438" i="1" s="1"/>
  <c r="N438" i="1"/>
  <c r="R438" i="1" s="1"/>
  <c r="Z437" i="1"/>
  <c r="Y437" i="1"/>
  <c r="T437" i="1"/>
  <c r="O437" i="1"/>
  <c r="S437" i="1" s="1"/>
  <c r="N437" i="1"/>
  <c r="Z436" i="1"/>
  <c r="Y436" i="1"/>
  <c r="T436" i="1"/>
  <c r="O436" i="1"/>
  <c r="S436" i="1" s="1"/>
  <c r="N436" i="1"/>
  <c r="R436" i="1" s="1"/>
  <c r="Z435" i="1"/>
  <c r="Y435" i="1"/>
  <c r="T435" i="1"/>
  <c r="O435" i="1"/>
  <c r="S435" i="1" s="1"/>
  <c r="N435" i="1"/>
  <c r="Z434" i="1"/>
  <c r="Y434" i="1"/>
  <c r="T434" i="1"/>
  <c r="O434" i="1"/>
  <c r="S434" i="1" s="1"/>
  <c r="N434" i="1"/>
  <c r="Z433" i="1"/>
  <c r="Y433" i="1"/>
  <c r="T433" i="1"/>
  <c r="O433" i="1"/>
  <c r="N433" i="1"/>
  <c r="Z432" i="1"/>
  <c r="Y432" i="1"/>
  <c r="T432" i="1"/>
  <c r="O432" i="1"/>
  <c r="N432" i="1"/>
  <c r="R432" i="1" s="1"/>
  <c r="Z431" i="1"/>
  <c r="Y431" i="1"/>
  <c r="T431" i="1"/>
  <c r="O431" i="1"/>
  <c r="S431" i="1" s="1"/>
  <c r="N431" i="1"/>
  <c r="R431" i="1" s="1"/>
  <c r="AB430" i="1"/>
  <c r="Z430" i="1"/>
  <c r="Y430" i="1"/>
  <c r="T430" i="1"/>
  <c r="O430" i="1"/>
  <c r="S430" i="1" s="1"/>
  <c r="N430" i="1"/>
  <c r="R430" i="1" s="1"/>
  <c r="AB429" i="1"/>
  <c r="Z429" i="1"/>
  <c r="Y429" i="1"/>
  <c r="T429" i="1"/>
  <c r="O429" i="1"/>
  <c r="S429" i="1" s="1"/>
  <c r="N429" i="1"/>
  <c r="Z428" i="1"/>
  <c r="Y428" i="1"/>
  <c r="T428" i="1"/>
  <c r="O428" i="1"/>
  <c r="S428" i="1" s="1"/>
  <c r="N428" i="1"/>
  <c r="Z427" i="1"/>
  <c r="Y427" i="1"/>
  <c r="T427" i="1"/>
  <c r="O427" i="1"/>
  <c r="S427" i="1" s="1"/>
  <c r="N427" i="1"/>
  <c r="Z426" i="1"/>
  <c r="Y426" i="1"/>
  <c r="T426" i="1"/>
  <c r="O426" i="1"/>
  <c r="S426" i="1" s="1"/>
  <c r="N426" i="1"/>
  <c r="Z425" i="1"/>
  <c r="Y425" i="1"/>
  <c r="T425" i="1"/>
  <c r="O425" i="1"/>
  <c r="S425" i="1" s="1"/>
  <c r="N425" i="1"/>
  <c r="R425" i="1" s="1"/>
  <c r="Z424" i="1"/>
  <c r="Y424" i="1"/>
  <c r="T424" i="1"/>
  <c r="O424" i="1"/>
  <c r="S424" i="1" s="1"/>
  <c r="N424" i="1"/>
  <c r="R424" i="1" s="1"/>
  <c r="Z423" i="1"/>
  <c r="Y423" i="1"/>
  <c r="T423" i="1"/>
  <c r="O423" i="1"/>
  <c r="S423" i="1" s="1"/>
  <c r="N423" i="1"/>
  <c r="R423" i="1" s="1"/>
  <c r="Z422" i="1"/>
  <c r="Y422" i="1"/>
  <c r="T422" i="1"/>
  <c r="O422" i="1"/>
  <c r="N422" i="1"/>
  <c r="R422" i="1" s="1"/>
  <c r="Z421" i="1"/>
  <c r="Y421" i="1"/>
  <c r="T421" i="1"/>
  <c r="O421" i="1"/>
  <c r="S421" i="1" s="1"/>
  <c r="N421" i="1"/>
  <c r="R421" i="1" s="1"/>
  <c r="Z420" i="1"/>
  <c r="Y420" i="1"/>
  <c r="T420" i="1"/>
  <c r="O420" i="1"/>
  <c r="S420" i="1" s="1"/>
  <c r="N420" i="1"/>
  <c r="Z419" i="1"/>
  <c r="Y419" i="1"/>
  <c r="T419" i="1"/>
  <c r="O419" i="1"/>
  <c r="N419" i="1"/>
  <c r="R419" i="1" s="1"/>
  <c r="Z418" i="1"/>
  <c r="Y418" i="1"/>
  <c r="T418" i="1"/>
  <c r="O418" i="1"/>
  <c r="S418" i="1" s="1"/>
  <c r="N418" i="1"/>
  <c r="Z417" i="1"/>
  <c r="Y417" i="1"/>
  <c r="T417" i="1"/>
  <c r="O417" i="1"/>
  <c r="S417" i="1" s="1"/>
  <c r="N417" i="1"/>
  <c r="R417" i="1" s="1"/>
  <c r="Z416" i="1"/>
  <c r="Y416" i="1"/>
  <c r="T416" i="1"/>
  <c r="O416" i="1"/>
  <c r="N416" i="1"/>
  <c r="R416" i="1" s="1"/>
  <c r="Z415" i="1"/>
  <c r="Y415" i="1"/>
  <c r="T415" i="1"/>
  <c r="O415" i="1"/>
  <c r="S415" i="1" s="1"/>
  <c r="N415" i="1"/>
  <c r="W414" i="1"/>
  <c r="V414" i="1"/>
  <c r="Z414" i="1" s="1"/>
  <c r="T414" i="1"/>
  <c r="O414" i="1"/>
  <c r="N414" i="1"/>
  <c r="W413" i="1"/>
  <c r="V413" i="1"/>
  <c r="Z413" i="1" s="1"/>
  <c r="T413" i="1"/>
  <c r="O413" i="1"/>
  <c r="N413" i="1"/>
  <c r="Z412" i="1"/>
  <c r="Y412" i="1"/>
  <c r="T412" i="1"/>
  <c r="O412" i="1"/>
  <c r="N412" i="1"/>
  <c r="R412" i="1" s="1"/>
  <c r="Z411" i="1"/>
  <c r="Y411" i="1"/>
  <c r="T411" i="1"/>
  <c r="O411" i="1"/>
  <c r="S411" i="1" s="1"/>
  <c r="N411" i="1"/>
  <c r="Z410" i="1"/>
  <c r="Y410" i="1"/>
  <c r="T410" i="1"/>
  <c r="O410" i="1"/>
  <c r="S410" i="1" s="1"/>
  <c r="N410" i="1"/>
  <c r="R410" i="1" s="1"/>
  <c r="Z409" i="1"/>
  <c r="Y409" i="1"/>
  <c r="T409" i="1"/>
  <c r="O409" i="1"/>
  <c r="S409" i="1" s="1"/>
  <c r="N409" i="1"/>
  <c r="R409" i="1" s="1"/>
  <c r="AB408" i="1"/>
  <c r="Z408" i="1"/>
  <c r="Y408" i="1"/>
  <c r="T408" i="1"/>
  <c r="O408" i="1"/>
  <c r="S408" i="1" s="1"/>
  <c r="N408" i="1"/>
  <c r="Z407" i="1"/>
  <c r="Y407" i="1"/>
  <c r="T407" i="1"/>
  <c r="O407" i="1"/>
  <c r="S407" i="1" s="1"/>
  <c r="N407" i="1"/>
  <c r="Z406" i="1"/>
  <c r="Y406" i="1"/>
  <c r="T406" i="1"/>
  <c r="O406" i="1"/>
  <c r="S406" i="1" s="1"/>
  <c r="N406" i="1"/>
  <c r="R406" i="1" s="1"/>
  <c r="Z405" i="1"/>
  <c r="Y405" i="1"/>
  <c r="T405" i="1"/>
  <c r="O405" i="1"/>
  <c r="S405" i="1" s="1"/>
  <c r="N405" i="1"/>
  <c r="R405" i="1" s="1"/>
  <c r="W404" i="1"/>
  <c r="V404" i="1"/>
  <c r="Z404" i="1" s="1"/>
  <c r="T404" i="1"/>
  <c r="O404" i="1"/>
  <c r="N404" i="1"/>
  <c r="Z403" i="1"/>
  <c r="Y403" i="1"/>
  <c r="T403" i="1"/>
  <c r="O403" i="1"/>
  <c r="S403" i="1" s="1"/>
  <c r="N403" i="1"/>
  <c r="Z402" i="1"/>
  <c r="Y402" i="1"/>
  <c r="T402" i="1"/>
  <c r="O402" i="1"/>
  <c r="S402" i="1" s="1"/>
  <c r="N402" i="1"/>
  <c r="R402" i="1" s="1"/>
  <c r="W401" i="1"/>
  <c r="V401" i="1"/>
  <c r="Z401" i="1" s="1"/>
  <c r="T401" i="1"/>
  <c r="O401" i="1"/>
  <c r="N401" i="1"/>
  <c r="W400" i="1"/>
  <c r="V400" i="1"/>
  <c r="T400" i="1"/>
  <c r="O400" i="1"/>
  <c r="N400" i="1"/>
  <c r="AB399" i="1"/>
  <c r="Z399" i="1"/>
  <c r="Y399" i="1"/>
  <c r="T399" i="1"/>
  <c r="O399" i="1"/>
  <c r="S399" i="1" s="1"/>
  <c r="N399" i="1"/>
  <c r="Z398" i="1"/>
  <c r="Y398" i="1"/>
  <c r="T398" i="1"/>
  <c r="O398" i="1"/>
  <c r="S398" i="1" s="1"/>
  <c r="N398" i="1"/>
  <c r="R398" i="1" s="1"/>
  <c r="Z397" i="1"/>
  <c r="Y397" i="1"/>
  <c r="T397" i="1"/>
  <c r="O397" i="1"/>
  <c r="S397" i="1" s="1"/>
  <c r="N397" i="1"/>
  <c r="R397" i="1" s="1"/>
  <c r="V396" i="1"/>
  <c r="T396" i="1"/>
  <c r="O396" i="1"/>
  <c r="S396" i="1" s="1"/>
  <c r="N396" i="1"/>
  <c r="Z395" i="1"/>
  <c r="Y395" i="1"/>
  <c r="T395" i="1"/>
  <c r="O395" i="1"/>
  <c r="N395" i="1"/>
  <c r="R395" i="1" s="1"/>
  <c r="AB394" i="1"/>
  <c r="Z394" i="1"/>
  <c r="Y394" i="1"/>
  <c r="T394" i="1"/>
  <c r="O394" i="1"/>
  <c r="N394" i="1"/>
  <c r="R394" i="1" s="1"/>
  <c r="Z393" i="1"/>
  <c r="Y393" i="1"/>
  <c r="T393" i="1"/>
  <c r="O393" i="1"/>
  <c r="S393" i="1" s="1"/>
  <c r="N393" i="1"/>
  <c r="R393" i="1" s="1"/>
  <c r="Z392" i="1"/>
  <c r="Y392" i="1"/>
  <c r="T392" i="1"/>
  <c r="O392" i="1"/>
  <c r="S392" i="1" s="1"/>
  <c r="N392" i="1"/>
  <c r="R392" i="1" s="1"/>
  <c r="Z391" i="1"/>
  <c r="Y391" i="1"/>
  <c r="T391" i="1"/>
  <c r="O391" i="1"/>
  <c r="S391" i="1" s="1"/>
  <c r="N391" i="1"/>
  <c r="R391" i="1" s="1"/>
  <c r="Z390" i="1"/>
  <c r="Y390" i="1"/>
  <c r="T390" i="1"/>
  <c r="O390" i="1"/>
  <c r="N390" i="1"/>
  <c r="R390" i="1" s="1"/>
  <c r="Z389" i="1"/>
  <c r="Y389" i="1"/>
  <c r="T389" i="1"/>
  <c r="O389" i="1"/>
  <c r="S389" i="1" s="1"/>
  <c r="N389" i="1"/>
  <c r="R389" i="1" s="1"/>
  <c r="AB388" i="1"/>
  <c r="Z388" i="1"/>
  <c r="Y388" i="1"/>
  <c r="T388" i="1"/>
  <c r="O388" i="1"/>
  <c r="S388" i="1" s="1"/>
  <c r="N388" i="1"/>
  <c r="Z387" i="1"/>
  <c r="Y387" i="1"/>
  <c r="T387" i="1"/>
  <c r="O387" i="1"/>
  <c r="S387" i="1" s="1"/>
  <c r="N387" i="1"/>
  <c r="Z386" i="1"/>
  <c r="Y386" i="1"/>
  <c r="T386" i="1"/>
  <c r="O386" i="1"/>
  <c r="S386" i="1" s="1"/>
  <c r="N386" i="1"/>
  <c r="Z385" i="1"/>
  <c r="Y385" i="1"/>
  <c r="T385" i="1"/>
  <c r="O385" i="1"/>
  <c r="S385" i="1" s="1"/>
  <c r="N385" i="1"/>
  <c r="Z384" i="1"/>
  <c r="Y384" i="1"/>
  <c r="T384" i="1"/>
  <c r="O384" i="1"/>
  <c r="S384" i="1" s="1"/>
  <c r="N384" i="1"/>
  <c r="Z383" i="1"/>
  <c r="Y383" i="1"/>
  <c r="T383" i="1"/>
  <c r="O383" i="1"/>
  <c r="N383" i="1"/>
  <c r="R383" i="1" s="1"/>
  <c r="Z382" i="1"/>
  <c r="Y382" i="1"/>
  <c r="T382" i="1"/>
  <c r="O382" i="1"/>
  <c r="N382" i="1"/>
  <c r="Z381" i="1"/>
  <c r="Y381" i="1"/>
  <c r="T381" i="1"/>
  <c r="O381" i="1"/>
  <c r="S381" i="1" s="1"/>
  <c r="N381" i="1"/>
  <c r="R381" i="1" s="1"/>
  <c r="Z380" i="1"/>
  <c r="Y380" i="1"/>
  <c r="T380" i="1"/>
  <c r="O380" i="1"/>
  <c r="S380" i="1" s="1"/>
  <c r="N380" i="1"/>
  <c r="AB379" i="1"/>
  <c r="Z379" i="1"/>
  <c r="Y379" i="1"/>
  <c r="T379" i="1"/>
  <c r="O379" i="1"/>
  <c r="S379" i="1" s="1"/>
  <c r="N379" i="1"/>
  <c r="AB378" i="1"/>
  <c r="Z378" i="1"/>
  <c r="Y378" i="1"/>
  <c r="T378" i="1"/>
  <c r="O378" i="1"/>
  <c r="S378" i="1" s="1"/>
  <c r="N378" i="1"/>
  <c r="AB377" i="1"/>
  <c r="Z377" i="1"/>
  <c r="Y377" i="1"/>
  <c r="T377" i="1"/>
  <c r="O377" i="1"/>
  <c r="S377" i="1" s="1"/>
  <c r="N377" i="1"/>
  <c r="Z376" i="1"/>
  <c r="Y376" i="1"/>
  <c r="T376" i="1"/>
  <c r="O376" i="1"/>
  <c r="S376" i="1" s="1"/>
  <c r="N376" i="1"/>
  <c r="R376" i="1" s="1"/>
  <c r="Z375" i="1"/>
  <c r="Y375" i="1"/>
  <c r="T375" i="1"/>
  <c r="O375" i="1"/>
  <c r="S375" i="1" s="1"/>
  <c r="N375" i="1"/>
  <c r="R375" i="1" s="1"/>
  <c r="Z374" i="1"/>
  <c r="Y374" i="1"/>
  <c r="T374" i="1"/>
  <c r="O374" i="1"/>
  <c r="S374" i="1" s="1"/>
  <c r="N374" i="1"/>
  <c r="R374" i="1" s="1"/>
  <c r="Z373" i="1"/>
  <c r="Y373" i="1"/>
  <c r="T373" i="1"/>
  <c r="O373" i="1"/>
  <c r="N373" i="1"/>
  <c r="R373" i="1" s="1"/>
  <c r="Z372" i="1"/>
  <c r="Y372" i="1"/>
  <c r="T372" i="1"/>
  <c r="O372" i="1"/>
  <c r="S372" i="1" s="1"/>
  <c r="N372" i="1"/>
  <c r="R372" i="1" s="1"/>
  <c r="Z371" i="1"/>
  <c r="Y371" i="1"/>
  <c r="T371" i="1"/>
  <c r="O371" i="1"/>
  <c r="N371" i="1"/>
  <c r="R371" i="1" s="1"/>
  <c r="Z370" i="1"/>
  <c r="Y370" i="1"/>
  <c r="T370" i="1"/>
  <c r="O370" i="1"/>
  <c r="N370" i="1"/>
  <c r="R370" i="1" s="1"/>
  <c r="Z369" i="1"/>
  <c r="Y369" i="1"/>
  <c r="T369" i="1"/>
  <c r="O369" i="1"/>
  <c r="S369" i="1" s="1"/>
  <c r="N369" i="1"/>
  <c r="R369" i="1" s="1"/>
  <c r="Z368" i="1"/>
  <c r="Y368" i="1"/>
  <c r="T368" i="1"/>
  <c r="O368" i="1"/>
  <c r="N368" i="1"/>
  <c r="R368" i="1" s="1"/>
  <c r="Z367" i="1"/>
  <c r="Y367" i="1"/>
  <c r="T367" i="1"/>
  <c r="O367" i="1"/>
  <c r="N367" i="1"/>
  <c r="R367" i="1" s="1"/>
  <c r="Z366" i="1"/>
  <c r="Y366" i="1"/>
  <c r="T366" i="1"/>
  <c r="O366" i="1"/>
  <c r="S366" i="1" s="1"/>
  <c r="N366" i="1"/>
  <c r="R366" i="1" s="1"/>
  <c r="AB365" i="1"/>
  <c r="Z365" i="1"/>
  <c r="Y365" i="1"/>
  <c r="T365" i="1"/>
  <c r="O365" i="1"/>
  <c r="S365" i="1" s="1"/>
  <c r="N365" i="1"/>
  <c r="R365" i="1" s="1"/>
  <c r="Z364" i="1"/>
  <c r="Y364" i="1"/>
  <c r="T364" i="1"/>
  <c r="O364" i="1"/>
  <c r="S364" i="1" s="1"/>
  <c r="N364" i="1"/>
  <c r="R364" i="1" s="1"/>
  <c r="Z363" i="1"/>
  <c r="Y363" i="1"/>
  <c r="T363" i="1"/>
  <c r="O363" i="1"/>
  <c r="S363" i="1" s="1"/>
  <c r="N363" i="1"/>
  <c r="Z362" i="1"/>
  <c r="Y362" i="1"/>
  <c r="T362" i="1"/>
  <c r="O362" i="1"/>
  <c r="S362" i="1" s="1"/>
  <c r="N362" i="1"/>
  <c r="Z361" i="1"/>
  <c r="Y361" i="1"/>
  <c r="T361" i="1"/>
  <c r="O361" i="1"/>
  <c r="S361" i="1" s="1"/>
  <c r="N361" i="1"/>
  <c r="R361" i="1" s="1"/>
  <c r="AB360" i="1"/>
  <c r="Z360" i="1"/>
  <c r="Y360" i="1"/>
  <c r="T360" i="1"/>
  <c r="O360" i="1"/>
  <c r="S360" i="1" s="1"/>
  <c r="N360" i="1"/>
  <c r="Z359" i="1"/>
  <c r="Y359" i="1"/>
  <c r="T359" i="1"/>
  <c r="O359" i="1"/>
  <c r="S359" i="1" s="1"/>
  <c r="N359" i="1"/>
  <c r="R359" i="1" s="1"/>
  <c r="Z358" i="1"/>
  <c r="Y358" i="1"/>
  <c r="T358" i="1"/>
  <c r="O358" i="1"/>
  <c r="S358" i="1" s="1"/>
  <c r="N358" i="1"/>
  <c r="R358" i="1" s="1"/>
  <c r="AB357" i="1"/>
  <c r="Z357" i="1"/>
  <c r="Y357" i="1"/>
  <c r="T357" i="1"/>
  <c r="O357" i="1"/>
  <c r="S357" i="1" s="1"/>
  <c r="N357" i="1"/>
  <c r="Z356" i="1"/>
  <c r="Y356" i="1"/>
  <c r="T356" i="1"/>
  <c r="O356" i="1"/>
  <c r="S356" i="1" s="1"/>
  <c r="N356" i="1"/>
  <c r="R356" i="1" s="1"/>
  <c r="Z355" i="1"/>
  <c r="Y355" i="1"/>
  <c r="T355" i="1"/>
  <c r="O355" i="1"/>
  <c r="N355" i="1"/>
  <c r="R355" i="1" s="1"/>
  <c r="Z354" i="1"/>
  <c r="Y354" i="1"/>
  <c r="T354" i="1"/>
  <c r="O354" i="1"/>
  <c r="S354" i="1" s="1"/>
  <c r="N354" i="1"/>
  <c r="R354" i="1" s="1"/>
  <c r="Z353" i="1"/>
  <c r="Y353" i="1"/>
  <c r="T353" i="1"/>
  <c r="O353" i="1"/>
  <c r="S353" i="1" s="1"/>
  <c r="N353" i="1"/>
  <c r="R353" i="1" s="1"/>
  <c r="AB352" i="1"/>
  <c r="Z352" i="1"/>
  <c r="Y352" i="1"/>
  <c r="T352" i="1"/>
  <c r="O352" i="1"/>
  <c r="S352" i="1" s="1"/>
  <c r="N352" i="1"/>
  <c r="Z351" i="1"/>
  <c r="Y351" i="1"/>
  <c r="T351" i="1"/>
  <c r="O351" i="1"/>
  <c r="S351" i="1" s="1"/>
  <c r="N351" i="1"/>
  <c r="Z350" i="1"/>
  <c r="Y350" i="1"/>
  <c r="T350" i="1"/>
  <c r="O350" i="1"/>
  <c r="N350" i="1"/>
  <c r="R350" i="1" s="1"/>
  <c r="Z349" i="1"/>
  <c r="Y349" i="1"/>
  <c r="T349" i="1"/>
  <c r="O349" i="1"/>
  <c r="N349" i="1"/>
  <c r="R349" i="1" s="1"/>
  <c r="AB348" i="1"/>
  <c r="Z348" i="1"/>
  <c r="Y348" i="1"/>
  <c r="T348" i="1"/>
  <c r="O348" i="1"/>
  <c r="S348" i="1" s="1"/>
  <c r="N348" i="1"/>
  <c r="R348" i="1" s="1"/>
  <c r="Z347" i="1"/>
  <c r="Y347" i="1"/>
  <c r="T347" i="1"/>
  <c r="O347" i="1"/>
  <c r="S347" i="1" s="1"/>
  <c r="N347" i="1"/>
  <c r="R347" i="1" s="1"/>
  <c r="Z346" i="1"/>
  <c r="Y346" i="1"/>
  <c r="T346" i="1"/>
  <c r="O346" i="1"/>
  <c r="S346" i="1" s="1"/>
  <c r="N346" i="1"/>
  <c r="Z345" i="1"/>
  <c r="Y345" i="1"/>
  <c r="T345" i="1"/>
  <c r="O345" i="1"/>
  <c r="S345" i="1" s="1"/>
  <c r="N345" i="1"/>
  <c r="R345" i="1" s="1"/>
  <c r="Z344" i="1"/>
  <c r="Y344" i="1"/>
  <c r="T344" i="1"/>
  <c r="O344" i="1"/>
  <c r="S344" i="1" s="1"/>
  <c r="N344" i="1"/>
  <c r="R344" i="1" s="1"/>
  <c r="AB343" i="1"/>
  <c r="Z343" i="1"/>
  <c r="Y343" i="1"/>
  <c r="T343" i="1"/>
  <c r="O343" i="1"/>
  <c r="S343" i="1" s="1"/>
  <c r="N343" i="1"/>
  <c r="Z342" i="1"/>
  <c r="Y342" i="1"/>
  <c r="T342" i="1"/>
  <c r="O342" i="1"/>
  <c r="S342" i="1" s="1"/>
  <c r="N342" i="1"/>
  <c r="Z341" i="1"/>
  <c r="Y341" i="1"/>
  <c r="T341" i="1"/>
  <c r="O341" i="1"/>
  <c r="N341" i="1"/>
  <c r="Z340" i="1"/>
  <c r="Y340" i="1"/>
  <c r="T340" i="1"/>
  <c r="O340" i="1"/>
  <c r="S340" i="1" s="1"/>
  <c r="N340" i="1"/>
  <c r="R340" i="1" s="1"/>
  <c r="Z339" i="1"/>
  <c r="Y339" i="1"/>
  <c r="T339" i="1"/>
  <c r="O339" i="1"/>
  <c r="S339" i="1" s="1"/>
  <c r="N339" i="1"/>
  <c r="R339" i="1" s="1"/>
  <c r="AB338" i="1"/>
  <c r="Z338" i="1"/>
  <c r="Y338" i="1"/>
  <c r="T338" i="1"/>
  <c r="O338" i="1"/>
  <c r="S338" i="1" s="1"/>
  <c r="N338" i="1"/>
  <c r="R338" i="1" s="1"/>
  <c r="Z337" i="1"/>
  <c r="Y337" i="1"/>
  <c r="T337" i="1"/>
  <c r="O337" i="1"/>
  <c r="S337" i="1" s="1"/>
  <c r="N337" i="1"/>
  <c r="R337" i="1" s="1"/>
  <c r="Z336" i="1"/>
  <c r="Y336" i="1"/>
  <c r="T336" i="1"/>
  <c r="O336" i="1"/>
  <c r="S336" i="1" s="1"/>
  <c r="N336" i="1"/>
  <c r="R336" i="1" s="1"/>
  <c r="AB335" i="1"/>
  <c r="Z335" i="1"/>
  <c r="Y335" i="1"/>
  <c r="T335" i="1"/>
  <c r="O335" i="1"/>
  <c r="S335" i="1" s="1"/>
  <c r="N335" i="1"/>
  <c r="Z334" i="1"/>
  <c r="Y334" i="1"/>
  <c r="T334" i="1"/>
  <c r="O334" i="1"/>
  <c r="S334" i="1" s="1"/>
  <c r="N334" i="1"/>
  <c r="W333" i="1"/>
  <c r="V333" i="1"/>
  <c r="T333" i="1"/>
  <c r="O333" i="1"/>
  <c r="N333" i="1"/>
  <c r="Z332" i="1"/>
  <c r="Y332" i="1"/>
  <c r="T332" i="1"/>
  <c r="O332" i="1"/>
  <c r="S332" i="1" s="1"/>
  <c r="N332" i="1"/>
  <c r="Z331" i="1"/>
  <c r="Y331" i="1"/>
  <c r="T331" i="1"/>
  <c r="O331" i="1"/>
  <c r="N331" i="1"/>
  <c r="R331" i="1" s="1"/>
  <c r="Z330" i="1"/>
  <c r="Y330" i="1"/>
  <c r="T330" i="1"/>
  <c r="O330" i="1"/>
  <c r="S330" i="1" s="1"/>
  <c r="N330" i="1"/>
  <c r="R330" i="1" s="1"/>
  <c r="Z329" i="1"/>
  <c r="Y329" i="1"/>
  <c r="T329" i="1"/>
  <c r="O329" i="1"/>
  <c r="S329" i="1" s="1"/>
  <c r="N329" i="1"/>
  <c r="R329" i="1" s="1"/>
  <c r="AB328" i="1"/>
  <c r="Z328" i="1"/>
  <c r="Y328" i="1"/>
  <c r="T328" i="1"/>
  <c r="O328" i="1"/>
  <c r="S328" i="1" s="1"/>
  <c r="N328" i="1"/>
  <c r="R328" i="1" s="1"/>
  <c r="Z327" i="1"/>
  <c r="Y327" i="1"/>
  <c r="T327" i="1"/>
  <c r="O327" i="1"/>
  <c r="S327" i="1" s="1"/>
  <c r="N327" i="1"/>
  <c r="R327" i="1" s="1"/>
  <c r="AB326" i="1"/>
  <c r="W326" i="1"/>
  <c r="V326" i="1"/>
  <c r="Z326" i="1" s="1"/>
  <c r="T326" i="1"/>
  <c r="O326" i="1"/>
  <c r="N326" i="1"/>
  <c r="W325" i="1"/>
  <c r="V325" i="1"/>
  <c r="Z325" i="1" s="1"/>
  <c r="T325" i="1"/>
  <c r="O325" i="1"/>
  <c r="N325" i="1"/>
  <c r="Z324" i="1"/>
  <c r="Y324" i="1"/>
  <c r="T324" i="1"/>
  <c r="O324" i="1"/>
  <c r="S324" i="1" s="1"/>
  <c r="N324" i="1"/>
  <c r="R324" i="1" s="1"/>
  <c r="Z323" i="1"/>
  <c r="Y323" i="1"/>
  <c r="T323" i="1"/>
  <c r="O323" i="1"/>
  <c r="S323" i="1" s="1"/>
  <c r="N323" i="1"/>
  <c r="R323" i="1" s="1"/>
  <c r="Z322" i="1"/>
  <c r="Y322" i="1"/>
  <c r="T322" i="1"/>
  <c r="O322" i="1"/>
  <c r="S322" i="1" s="1"/>
  <c r="N322" i="1"/>
  <c r="R322" i="1" s="1"/>
  <c r="Z321" i="1"/>
  <c r="Y321" i="1"/>
  <c r="T321" i="1"/>
  <c r="O321" i="1"/>
  <c r="S321" i="1" s="1"/>
  <c r="N321" i="1"/>
  <c r="R321" i="1" s="1"/>
  <c r="AB320" i="1"/>
  <c r="Z320" i="1"/>
  <c r="Y320" i="1"/>
  <c r="T320" i="1"/>
  <c r="O320" i="1"/>
  <c r="S320" i="1" s="1"/>
  <c r="N320" i="1"/>
  <c r="R320" i="1" s="1"/>
  <c r="Z319" i="1"/>
  <c r="Y319" i="1"/>
  <c r="T319" i="1"/>
  <c r="O319" i="1"/>
  <c r="S319" i="1" s="1"/>
  <c r="N319" i="1"/>
  <c r="Z318" i="1"/>
  <c r="Y318" i="1"/>
  <c r="T318" i="1"/>
  <c r="O318" i="1"/>
  <c r="N318" i="1"/>
  <c r="R318" i="1" s="1"/>
  <c r="Z317" i="1"/>
  <c r="Y317" i="1"/>
  <c r="T317" i="1"/>
  <c r="O317" i="1"/>
  <c r="S317" i="1" s="1"/>
  <c r="N317" i="1"/>
  <c r="R317" i="1" s="1"/>
  <c r="Z316" i="1"/>
  <c r="Y316" i="1"/>
  <c r="T316" i="1"/>
  <c r="O316" i="1"/>
  <c r="S316" i="1" s="1"/>
  <c r="N316" i="1"/>
  <c r="R316" i="1" s="1"/>
  <c r="AB315" i="1"/>
  <c r="Z315" i="1"/>
  <c r="Y315" i="1"/>
  <c r="T315" i="1"/>
  <c r="O315" i="1"/>
  <c r="N315" i="1"/>
  <c r="R315" i="1" s="1"/>
  <c r="Z314" i="1"/>
  <c r="Y314" i="1"/>
  <c r="T314" i="1"/>
  <c r="O314" i="1"/>
  <c r="S314" i="1" s="1"/>
  <c r="N314" i="1"/>
  <c r="R314" i="1" s="1"/>
  <c r="Z313" i="1"/>
  <c r="Y313" i="1"/>
  <c r="T313" i="1"/>
  <c r="O313" i="1"/>
  <c r="S313" i="1" s="1"/>
  <c r="N313" i="1"/>
  <c r="R313" i="1" s="1"/>
  <c r="AB312" i="1"/>
  <c r="Z312" i="1"/>
  <c r="Y312" i="1"/>
  <c r="T312" i="1"/>
  <c r="O312" i="1"/>
  <c r="S312" i="1" s="1"/>
  <c r="N312" i="1"/>
  <c r="R312" i="1" s="1"/>
  <c r="Z311" i="1"/>
  <c r="Y311" i="1"/>
  <c r="T311" i="1"/>
  <c r="O311" i="1"/>
  <c r="S311" i="1" s="1"/>
  <c r="N311" i="1"/>
  <c r="Z310" i="1"/>
  <c r="Y310" i="1"/>
  <c r="T310" i="1"/>
  <c r="O310" i="1"/>
  <c r="S310" i="1" s="1"/>
  <c r="N310" i="1"/>
  <c r="R310" i="1" s="1"/>
  <c r="AB309" i="1"/>
  <c r="Z309" i="1"/>
  <c r="Y309" i="1"/>
  <c r="T309" i="1"/>
  <c r="O309" i="1"/>
  <c r="S309" i="1" s="1"/>
  <c r="N309" i="1"/>
  <c r="R309" i="1" s="1"/>
  <c r="Z308" i="1"/>
  <c r="Y308" i="1"/>
  <c r="T308" i="1"/>
  <c r="O308" i="1"/>
  <c r="N308" i="1"/>
  <c r="R308" i="1" s="1"/>
  <c r="AB307" i="1"/>
  <c r="Z307" i="1"/>
  <c r="Y307" i="1"/>
  <c r="T307" i="1"/>
  <c r="O307" i="1"/>
  <c r="S307" i="1" s="1"/>
  <c r="N307" i="1"/>
  <c r="R307" i="1" s="1"/>
  <c r="Z306" i="1"/>
  <c r="Y306" i="1"/>
  <c r="T306" i="1"/>
  <c r="O306" i="1"/>
  <c r="S306" i="1" s="1"/>
  <c r="N306" i="1"/>
  <c r="Z305" i="1"/>
  <c r="Y305" i="1"/>
  <c r="T305" i="1"/>
  <c r="O305" i="1"/>
  <c r="S305" i="1" s="1"/>
  <c r="N305" i="1"/>
  <c r="R305" i="1" s="1"/>
  <c r="W304" i="1"/>
  <c r="V304" i="1"/>
  <c r="T304" i="1"/>
  <c r="O304" i="1"/>
  <c r="N304" i="1"/>
  <c r="Z303" i="1"/>
  <c r="Y303" i="1"/>
  <c r="T303" i="1"/>
  <c r="O303" i="1"/>
  <c r="S303" i="1" s="1"/>
  <c r="N303" i="1"/>
  <c r="R303" i="1" s="1"/>
  <c r="W302" i="1"/>
  <c r="V302" i="1"/>
  <c r="T302" i="1"/>
  <c r="O302" i="1"/>
  <c r="N302" i="1"/>
  <c r="Z301" i="1"/>
  <c r="Y301" i="1"/>
  <c r="T301" i="1"/>
  <c r="O301" i="1"/>
  <c r="S301" i="1" s="1"/>
  <c r="N301" i="1"/>
  <c r="Z300" i="1"/>
  <c r="Y300" i="1"/>
  <c r="T300" i="1"/>
  <c r="O300" i="1"/>
  <c r="N300" i="1"/>
  <c r="R300" i="1" s="1"/>
  <c r="Z299" i="1"/>
  <c r="Y299" i="1"/>
  <c r="T299" i="1"/>
  <c r="O299" i="1"/>
  <c r="S299" i="1" s="1"/>
  <c r="N299" i="1"/>
  <c r="Z298" i="1"/>
  <c r="Y298" i="1"/>
  <c r="T298" i="1"/>
  <c r="O298" i="1"/>
  <c r="S298" i="1" s="1"/>
  <c r="N298" i="1"/>
  <c r="R298" i="1" s="1"/>
  <c r="AB297" i="1"/>
  <c r="Z297" i="1"/>
  <c r="Y297" i="1"/>
  <c r="T297" i="1"/>
  <c r="O297" i="1"/>
  <c r="S297" i="1" s="1"/>
  <c r="N297" i="1"/>
  <c r="Z296" i="1"/>
  <c r="Y296" i="1"/>
  <c r="T296" i="1"/>
  <c r="O296" i="1"/>
  <c r="S296" i="1" s="1"/>
  <c r="N296" i="1"/>
  <c r="Z295" i="1"/>
  <c r="Y295" i="1"/>
  <c r="T295" i="1"/>
  <c r="O295" i="1"/>
  <c r="S295" i="1" s="1"/>
  <c r="N295" i="1"/>
  <c r="W294" i="1"/>
  <c r="V294" i="1"/>
  <c r="Z294" i="1" s="1"/>
  <c r="T294" i="1"/>
  <c r="O294" i="1"/>
  <c r="N294" i="1"/>
  <c r="Z293" i="1"/>
  <c r="Y293" i="1"/>
  <c r="T293" i="1"/>
  <c r="O293" i="1"/>
  <c r="S293" i="1" s="1"/>
  <c r="N293" i="1"/>
  <c r="R293" i="1" s="1"/>
  <c r="Z292" i="1"/>
  <c r="Y292" i="1"/>
  <c r="T292" i="1"/>
  <c r="O292" i="1"/>
  <c r="S292" i="1" s="1"/>
  <c r="N292" i="1"/>
  <c r="Z291" i="1"/>
  <c r="Y291" i="1"/>
  <c r="T291" i="1"/>
  <c r="O291" i="1"/>
  <c r="S291" i="1" s="1"/>
  <c r="N291" i="1"/>
  <c r="AB290" i="1"/>
  <c r="Z290" i="1"/>
  <c r="Y290" i="1"/>
  <c r="T290" i="1"/>
  <c r="O290" i="1"/>
  <c r="S290" i="1" s="1"/>
  <c r="N290" i="1"/>
  <c r="AB289" i="1"/>
  <c r="Z289" i="1"/>
  <c r="Y289" i="1"/>
  <c r="T289" i="1"/>
  <c r="O289" i="1"/>
  <c r="N289" i="1"/>
  <c r="Z288" i="1"/>
  <c r="Y288" i="1"/>
  <c r="T288" i="1"/>
  <c r="O288" i="1"/>
  <c r="S288" i="1" s="1"/>
  <c r="N288" i="1"/>
  <c r="Z287" i="1"/>
  <c r="Y287" i="1"/>
  <c r="T287" i="1"/>
  <c r="O287" i="1"/>
  <c r="S287" i="1" s="1"/>
  <c r="N287" i="1"/>
  <c r="Z286" i="1"/>
  <c r="Y286" i="1"/>
  <c r="T286" i="1"/>
  <c r="O286" i="1"/>
  <c r="S286" i="1" s="1"/>
  <c r="N286" i="1"/>
  <c r="Z285" i="1"/>
  <c r="Y285" i="1"/>
  <c r="T285" i="1"/>
  <c r="O285" i="1"/>
  <c r="S285" i="1" s="1"/>
  <c r="N285" i="1"/>
  <c r="Z284" i="1"/>
  <c r="Y284" i="1"/>
  <c r="T284" i="1"/>
  <c r="O284" i="1"/>
  <c r="S284" i="1" s="1"/>
  <c r="N284" i="1"/>
  <c r="R284" i="1" s="1"/>
  <c r="Z283" i="1"/>
  <c r="Y283" i="1"/>
  <c r="T283" i="1"/>
  <c r="O283" i="1"/>
  <c r="S283" i="1" s="1"/>
  <c r="N283" i="1"/>
  <c r="Z282" i="1"/>
  <c r="Y282" i="1"/>
  <c r="T282" i="1"/>
  <c r="O282" i="1"/>
  <c r="S282" i="1" s="1"/>
  <c r="N282" i="1"/>
  <c r="Z281" i="1"/>
  <c r="Y281" i="1"/>
  <c r="T281" i="1"/>
  <c r="O281" i="1"/>
  <c r="S281" i="1" s="1"/>
  <c r="N281" i="1"/>
  <c r="R281" i="1" s="1"/>
  <c r="AB280" i="1"/>
  <c r="W280" i="1"/>
  <c r="V280" i="1"/>
  <c r="Z280" i="1" s="1"/>
  <c r="T280" i="1"/>
  <c r="O280" i="1"/>
  <c r="N280" i="1"/>
  <c r="R280" i="1" s="1"/>
  <c r="AB279" i="1"/>
  <c r="Z279" i="1"/>
  <c r="Y279" i="1"/>
  <c r="T279" i="1"/>
  <c r="O279" i="1"/>
  <c r="S279" i="1" s="1"/>
  <c r="N279" i="1"/>
  <c r="Z278" i="1"/>
  <c r="Y278" i="1"/>
  <c r="T278" i="1"/>
  <c r="O278" i="1"/>
  <c r="S278" i="1" s="1"/>
  <c r="N278" i="1"/>
  <c r="Z277" i="1"/>
  <c r="Y277" i="1"/>
  <c r="T277" i="1"/>
  <c r="O277" i="1"/>
  <c r="S277" i="1" s="1"/>
  <c r="N277" i="1"/>
  <c r="R277" i="1" s="1"/>
  <c r="Z276" i="1"/>
  <c r="Y276" i="1"/>
  <c r="T276" i="1"/>
  <c r="O276" i="1"/>
  <c r="S276" i="1" s="1"/>
  <c r="N276" i="1"/>
  <c r="Z275" i="1"/>
  <c r="Y275" i="1"/>
  <c r="T275" i="1"/>
  <c r="O275" i="1"/>
  <c r="S275" i="1" s="1"/>
  <c r="N275" i="1"/>
  <c r="R275" i="1" s="1"/>
  <c r="AB274" i="1"/>
  <c r="Z274" i="1"/>
  <c r="Y274" i="1"/>
  <c r="T274" i="1"/>
  <c r="O274" i="1"/>
  <c r="S274" i="1" s="1"/>
  <c r="N274" i="1"/>
  <c r="R274" i="1" s="1"/>
  <c r="W273" i="1"/>
  <c r="V273" i="1"/>
  <c r="T273" i="1"/>
  <c r="O273" i="1"/>
  <c r="N273" i="1"/>
  <c r="AB272" i="1"/>
  <c r="Z272" i="1"/>
  <c r="Y272" i="1"/>
  <c r="T272" i="1"/>
  <c r="O272" i="1"/>
  <c r="S272" i="1" s="1"/>
  <c r="N272" i="1"/>
  <c r="R272" i="1" s="1"/>
  <c r="Z271" i="1"/>
  <c r="Y271" i="1"/>
  <c r="T271" i="1"/>
  <c r="O271" i="1"/>
  <c r="S271" i="1" s="1"/>
  <c r="N271" i="1"/>
  <c r="Z270" i="1"/>
  <c r="Y270" i="1"/>
  <c r="T270" i="1"/>
  <c r="O270" i="1"/>
  <c r="S270" i="1" s="1"/>
  <c r="N270" i="1"/>
  <c r="R270" i="1" s="1"/>
  <c r="Z269" i="1"/>
  <c r="Y269" i="1"/>
  <c r="T269" i="1"/>
  <c r="O269" i="1"/>
  <c r="S269" i="1" s="1"/>
  <c r="N269" i="1"/>
  <c r="R269" i="1" s="1"/>
  <c r="Z268" i="1"/>
  <c r="W268" i="1"/>
  <c r="Y268" i="1" s="1"/>
  <c r="T268" i="1"/>
  <c r="O268" i="1"/>
  <c r="N268" i="1"/>
  <c r="Z267" i="1"/>
  <c r="Y267" i="1"/>
  <c r="T267" i="1"/>
  <c r="O267" i="1"/>
  <c r="S267" i="1" s="1"/>
  <c r="N267" i="1"/>
  <c r="Z266" i="1"/>
  <c r="Y266" i="1"/>
  <c r="T266" i="1"/>
  <c r="O266" i="1"/>
  <c r="S266" i="1" s="1"/>
  <c r="N266" i="1"/>
  <c r="J266" i="1" s="1"/>
  <c r="L266" i="1" s="1"/>
  <c r="AB265" i="1"/>
  <c r="Z265" i="1"/>
  <c r="Y265" i="1"/>
  <c r="T265" i="1"/>
  <c r="O265" i="1"/>
  <c r="S265" i="1" s="1"/>
  <c r="N265" i="1"/>
  <c r="Z264" i="1"/>
  <c r="Y264" i="1"/>
  <c r="T264" i="1"/>
  <c r="O264" i="1"/>
  <c r="S264" i="1" s="1"/>
  <c r="N264" i="1"/>
  <c r="R264" i="1" s="1"/>
  <c r="Z263" i="1"/>
  <c r="Y263" i="1"/>
  <c r="T263" i="1"/>
  <c r="O263" i="1"/>
  <c r="S263" i="1" s="1"/>
  <c r="N263" i="1"/>
  <c r="R263" i="1" s="1"/>
  <c r="Z262" i="1"/>
  <c r="Y262" i="1"/>
  <c r="T262" i="1"/>
  <c r="O262" i="1"/>
  <c r="S262" i="1" s="1"/>
  <c r="N262" i="1"/>
  <c r="R262" i="1" s="1"/>
  <c r="Z261" i="1"/>
  <c r="Y261" i="1"/>
  <c r="T261" i="1"/>
  <c r="O261" i="1"/>
  <c r="S261" i="1" s="1"/>
  <c r="N261" i="1"/>
  <c r="R261" i="1" s="1"/>
  <c r="Z260" i="1"/>
  <c r="Y260" i="1"/>
  <c r="T260" i="1"/>
  <c r="O260" i="1"/>
  <c r="S260" i="1" s="1"/>
  <c r="N260" i="1"/>
  <c r="Z259" i="1"/>
  <c r="Y259" i="1"/>
  <c r="T259" i="1"/>
  <c r="O259" i="1"/>
  <c r="S259" i="1" s="1"/>
  <c r="N259" i="1"/>
  <c r="R259" i="1" s="1"/>
  <c r="AB258" i="1"/>
  <c r="Z258" i="1"/>
  <c r="Y258" i="1"/>
  <c r="T258" i="1"/>
  <c r="O258" i="1"/>
  <c r="S258" i="1" s="1"/>
  <c r="N258" i="1"/>
  <c r="Z257" i="1"/>
  <c r="Y257" i="1"/>
  <c r="T257" i="1"/>
  <c r="O257" i="1"/>
  <c r="S257" i="1" s="1"/>
  <c r="N257" i="1"/>
  <c r="Z256" i="1"/>
  <c r="Y256" i="1"/>
  <c r="T256" i="1"/>
  <c r="O256" i="1"/>
  <c r="N256" i="1"/>
  <c r="R256" i="1" s="1"/>
  <c r="V255" i="1"/>
  <c r="Z255" i="1" s="1"/>
  <c r="T255" i="1"/>
  <c r="O255" i="1"/>
  <c r="S255" i="1" s="1"/>
  <c r="N255" i="1"/>
  <c r="Z254" i="1"/>
  <c r="Y254" i="1"/>
  <c r="T254" i="1"/>
  <c r="O254" i="1"/>
  <c r="N254" i="1"/>
  <c r="Z253" i="1"/>
  <c r="Y253" i="1"/>
  <c r="T253" i="1"/>
  <c r="O253" i="1"/>
  <c r="S253" i="1" s="1"/>
  <c r="N253" i="1"/>
  <c r="Z252" i="1"/>
  <c r="Y252" i="1"/>
  <c r="T252" i="1"/>
  <c r="O252" i="1"/>
  <c r="S252" i="1" s="1"/>
  <c r="N252" i="1"/>
  <c r="R252" i="1" s="1"/>
  <c r="AB251" i="1"/>
  <c r="Z251" i="1"/>
  <c r="Y251" i="1"/>
  <c r="T251" i="1"/>
  <c r="O251" i="1"/>
  <c r="S251" i="1" s="1"/>
  <c r="N251" i="1"/>
  <c r="R251" i="1" s="1"/>
  <c r="Z250" i="1"/>
  <c r="Y250" i="1"/>
  <c r="T250" i="1"/>
  <c r="O250" i="1"/>
  <c r="S250" i="1" s="1"/>
  <c r="N250" i="1"/>
  <c r="R250" i="1" s="1"/>
  <c r="Z249" i="1"/>
  <c r="Y249" i="1"/>
  <c r="T249" i="1"/>
  <c r="O249" i="1"/>
  <c r="S249" i="1" s="1"/>
  <c r="N249" i="1"/>
  <c r="R249" i="1" s="1"/>
  <c r="Z248" i="1"/>
  <c r="Y248" i="1"/>
  <c r="T248" i="1"/>
  <c r="O248" i="1"/>
  <c r="S248" i="1" s="1"/>
  <c r="N248" i="1"/>
  <c r="R248" i="1" s="1"/>
  <c r="Z247" i="1"/>
  <c r="Y247" i="1"/>
  <c r="T247" i="1"/>
  <c r="O247" i="1"/>
  <c r="S247" i="1" s="1"/>
  <c r="N247" i="1"/>
  <c r="R247" i="1" s="1"/>
  <c r="Z246" i="1"/>
  <c r="Y246" i="1"/>
  <c r="T246" i="1"/>
  <c r="O246" i="1"/>
  <c r="N246" i="1"/>
  <c r="R246" i="1" s="1"/>
  <c r="Z245" i="1"/>
  <c r="Y245" i="1"/>
  <c r="T245" i="1"/>
  <c r="O245" i="1"/>
  <c r="S245" i="1" s="1"/>
  <c r="N245" i="1"/>
  <c r="R245" i="1" s="1"/>
  <c r="Z244" i="1"/>
  <c r="Y244" i="1"/>
  <c r="T244" i="1"/>
  <c r="O244" i="1"/>
  <c r="S244" i="1" s="1"/>
  <c r="N244" i="1"/>
  <c r="Z243" i="1"/>
  <c r="Y243" i="1"/>
  <c r="T243" i="1"/>
  <c r="O243" i="1"/>
  <c r="S243" i="1" s="1"/>
  <c r="N243" i="1"/>
  <c r="AB242" i="1"/>
  <c r="Z242" i="1"/>
  <c r="Y242" i="1"/>
  <c r="T242" i="1"/>
  <c r="O242" i="1"/>
  <c r="S242" i="1" s="1"/>
  <c r="N242" i="1"/>
  <c r="R242" i="1" s="1"/>
  <c r="Z241" i="1"/>
  <c r="Y241" i="1"/>
  <c r="T241" i="1"/>
  <c r="O241" i="1"/>
  <c r="N241" i="1"/>
  <c r="R241" i="1" s="1"/>
  <c r="V240" i="1"/>
  <c r="Y240" i="1" s="1"/>
  <c r="T240" i="1"/>
  <c r="O240" i="1"/>
  <c r="S240" i="1" s="1"/>
  <c r="N240" i="1"/>
  <c r="AB239" i="1"/>
  <c r="Z239" i="1"/>
  <c r="Y239" i="1"/>
  <c r="T239" i="1"/>
  <c r="O239" i="1"/>
  <c r="S239" i="1" s="1"/>
  <c r="N239" i="1"/>
  <c r="Z238" i="1"/>
  <c r="Y238" i="1"/>
  <c r="T238" i="1"/>
  <c r="O238" i="1"/>
  <c r="S238" i="1" s="1"/>
  <c r="N238" i="1"/>
  <c r="R238" i="1" s="1"/>
  <c r="V237" i="1"/>
  <c r="Y237" i="1" s="1"/>
  <c r="T237" i="1"/>
  <c r="O237" i="1"/>
  <c r="S237" i="1" s="1"/>
  <c r="N237" i="1"/>
  <c r="AB236" i="1"/>
  <c r="Z236" i="1"/>
  <c r="Y236" i="1"/>
  <c r="T236" i="1"/>
  <c r="O236" i="1"/>
  <c r="S236" i="1" s="1"/>
  <c r="N236" i="1"/>
  <c r="R236" i="1" s="1"/>
  <c r="Z235" i="1"/>
  <c r="Y235" i="1"/>
  <c r="T235" i="1"/>
  <c r="O235" i="1"/>
  <c r="S235" i="1" s="1"/>
  <c r="N235" i="1"/>
  <c r="AB234" i="1"/>
  <c r="Z234" i="1"/>
  <c r="Y234" i="1"/>
  <c r="T234" i="1"/>
  <c r="O234" i="1"/>
  <c r="S234" i="1" s="1"/>
  <c r="N234" i="1"/>
  <c r="R234" i="1" s="1"/>
  <c r="Z233" i="1"/>
  <c r="Y233" i="1"/>
  <c r="T233" i="1"/>
  <c r="O233" i="1"/>
  <c r="S233" i="1" s="1"/>
  <c r="N233" i="1"/>
  <c r="R233" i="1" s="1"/>
  <c r="Z232" i="1"/>
  <c r="Y232" i="1"/>
  <c r="T232" i="1"/>
  <c r="O232" i="1"/>
  <c r="N232" i="1"/>
  <c r="R232" i="1" s="1"/>
  <c r="AB231" i="1"/>
  <c r="Z231" i="1"/>
  <c r="Y231" i="1"/>
  <c r="T231" i="1"/>
  <c r="O231" i="1"/>
  <c r="N231" i="1"/>
  <c r="Z230" i="1"/>
  <c r="Y230" i="1"/>
  <c r="T230" i="1"/>
  <c r="O230" i="1"/>
  <c r="S230" i="1" s="1"/>
  <c r="N230" i="1"/>
  <c r="R230" i="1" s="1"/>
  <c r="Z229" i="1"/>
  <c r="Y229" i="1"/>
  <c r="T229" i="1"/>
  <c r="O229" i="1"/>
  <c r="S229" i="1" s="1"/>
  <c r="N229" i="1"/>
  <c r="R229" i="1" s="1"/>
  <c r="Z228" i="1"/>
  <c r="W228" i="1"/>
  <c r="Y228" i="1" s="1"/>
  <c r="T228" i="1"/>
  <c r="O228" i="1"/>
  <c r="N228" i="1"/>
  <c r="R228" i="1" s="1"/>
  <c r="Z227" i="1"/>
  <c r="Y227" i="1"/>
  <c r="T227" i="1"/>
  <c r="O227" i="1"/>
  <c r="N227" i="1"/>
  <c r="R227" i="1" s="1"/>
  <c r="AB226" i="1"/>
  <c r="Z226" i="1"/>
  <c r="Y226" i="1"/>
  <c r="T226" i="1"/>
  <c r="O226" i="1"/>
  <c r="N226" i="1"/>
  <c r="R226" i="1" s="1"/>
  <c r="Z225" i="1"/>
  <c r="Y225" i="1"/>
  <c r="T225" i="1"/>
  <c r="O225" i="1"/>
  <c r="S225" i="1" s="1"/>
  <c r="N225" i="1"/>
  <c r="R225" i="1" s="1"/>
  <c r="Z224" i="1"/>
  <c r="Y224" i="1"/>
  <c r="T224" i="1"/>
  <c r="O224" i="1"/>
  <c r="S224" i="1" s="1"/>
  <c r="N224" i="1"/>
  <c r="AB223" i="1"/>
  <c r="Z223" i="1"/>
  <c r="Y223" i="1"/>
  <c r="T223" i="1"/>
  <c r="O223" i="1"/>
  <c r="S223" i="1" s="1"/>
  <c r="N223" i="1"/>
  <c r="Z222" i="1"/>
  <c r="Y222" i="1"/>
  <c r="T222" i="1"/>
  <c r="O222" i="1"/>
  <c r="S222" i="1" s="1"/>
  <c r="N222" i="1"/>
  <c r="Z221" i="1"/>
  <c r="Y221" i="1"/>
  <c r="T221" i="1"/>
  <c r="O221" i="1"/>
  <c r="S221" i="1" s="1"/>
  <c r="N221" i="1"/>
  <c r="Z220" i="1"/>
  <c r="Y220" i="1"/>
  <c r="T220" i="1"/>
  <c r="O220" i="1"/>
  <c r="S220" i="1" s="1"/>
  <c r="N220" i="1"/>
  <c r="Z219" i="1"/>
  <c r="Y219" i="1"/>
  <c r="T219" i="1"/>
  <c r="O219" i="1"/>
  <c r="N219" i="1"/>
  <c r="R219" i="1" s="1"/>
  <c r="Z218" i="1"/>
  <c r="Y218" i="1"/>
  <c r="T218" i="1"/>
  <c r="O218" i="1"/>
  <c r="N218" i="1"/>
  <c r="R218" i="1" s="1"/>
  <c r="Z217" i="1"/>
  <c r="Y217" i="1"/>
  <c r="T217" i="1"/>
  <c r="O217" i="1"/>
  <c r="S217" i="1" s="1"/>
  <c r="N217" i="1"/>
  <c r="R217" i="1" s="1"/>
  <c r="Z216" i="1"/>
  <c r="Y216" i="1"/>
  <c r="T216" i="1"/>
  <c r="O216" i="1"/>
  <c r="S216" i="1" s="1"/>
  <c r="N216" i="1"/>
  <c r="R216" i="1" s="1"/>
  <c r="AB215" i="1"/>
  <c r="Z215" i="1"/>
  <c r="Y215" i="1"/>
  <c r="T215" i="1"/>
  <c r="O215" i="1"/>
  <c r="S215" i="1" s="1"/>
  <c r="N215" i="1"/>
  <c r="Z214" i="1"/>
  <c r="Y214" i="1"/>
  <c r="T214" i="1"/>
  <c r="O214" i="1"/>
  <c r="S214" i="1" s="1"/>
  <c r="N214" i="1"/>
  <c r="Z213" i="1"/>
  <c r="Y213" i="1"/>
  <c r="T213" i="1"/>
  <c r="O213" i="1"/>
  <c r="S213" i="1" s="1"/>
  <c r="N213" i="1"/>
  <c r="AB212" i="1"/>
  <c r="Z212" i="1"/>
  <c r="Y212" i="1"/>
  <c r="T212" i="1"/>
  <c r="O212" i="1"/>
  <c r="N212" i="1"/>
  <c r="R212" i="1" s="1"/>
  <c r="W211" i="1"/>
  <c r="V211" i="1"/>
  <c r="T211" i="1"/>
  <c r="O211" i="1"/>
  <c r="N211" i="1"/>
  <c r="Z210" i="1"/>
  <c r="Y210" i="1"/>
  <c r="T210" i="1"/>
  <c r="O210" i="1"/>
  <c r="N210" i="1"/>
  <c r="R210" i="1" s="1"/>
  <c r="Z209" i="1"/>
  <c r="Y209" i="1"/>
  <c r="T209" i="1"/>
  <c r="O209" i="1"/>
  <c r="S209" i="1" s="1"/>
  <c r="N209" i="1"/>
  <c r="R209" i="1" s="1"/>
  <c r="Z208" i="1"/>
  <c r="Y208" i="1"/>
  <c r="T208" i="1"/>
  <c r="O208" i="1"/>
  <c r="S208" i="1" s="1"/>
  <c r="N208" i="1"/>
  <c r="R208" i="1" s="1"/>
  <c r="AB207" i="1"/>
  <c r="Z207" i="1"/>
  <c r="Y207" i="1"/>
  <c r="T207" i="1"/>
  <c r="O207" i="1"/>
  <c r="S207" i="1" s="1"/>
  <c r="N207" i="1"/>
  <c r="Z206" i="1"/>
  <c r="Y206" i="1"/>
  <c r="T206" i="1"/>
  <c r="O206" i="1"/>
  <c r="S206" i="1" s="1"/>
  <c r="N206" i="1"/>
  <c r="Z205" i="1"/>
  <c r="Y205" i="1"/>
  <c r="T205" i="1"/>
  <c r="O205" i="1"/>
  <c r="S205" i="1" s="1"/>
  <c r="N205" i="1"/>
  <c r="Z204" i="1"/>
  <c r="Y204" i="1"/>
  <c r="T204" i="1"/>
  <c r="O204" i="1"/>
  <c r="S204" i="1" s="1"/>
  <c r="N204" i="1"/>
  <c r="Z203" i="1"/>
  <c r="Y203" i="1"/>
  <c r="T203" i="1"/>
  <c r="O203" i="1"/>
  <c r="N203" i="1"/>
  <c r="R203" i="1" s="1"/>
  <c r="AB202" i="1"/>
  <c r="Z202" i="1"/>
  <c r="Y202" i="1"/>
  <c r="T202" i="1"/>
  <c r="O202" i="1"/>
  <c r="N202" i="1"/>
  <c r="R202" i="1" s="1"/>
  <c r="Z201" i="1"/>
  <c r="Y201" i="1"/>
  <c r="T201" i="1"/>
  <c r="O201" i="1"/>
  <c r="S201" i="1" s="1"/>
  <c r="N201" i="1"/>
  <c r="Z200" i="1"/>
  <c r="Y200" i="1"/>
  <c r="T200" i="1"/>
  <c r="O200" i="1"/>
  <c r="S200" i="1" s="1"/>
  <c r="N200" i="1"/>
  <c r="R200" i="1" s="1"/>
  <c r="AB199" i="1"/>
  <c r="Z199" i="1"/>
  <c r="Y199" i="1"/>
  <c r="T199" i="1"/>
  <c r="O199" i="1"/>
  <c r="S199" i="1" s="1"/>
  <c r="N199" i="1"/>
  <c r="Z198" i="1"/>
  <c r="Y198" i="1"/>
  <c r="T198" i="1"/>
  <c r="O198" i="1"/>
  <c r="S198" i="1" s="1"/>
  <c r="N198" i="1"/>
  <c r="AB197" i="1"/>
  <c r="Z197" i="1"/>
  <c r="Y197" i="1"/>
  <c r="T197" i="1"/>
  <c r="O197" i="1"/>
  <c r="S197" i="1" s="1"/>
  <c r="N197" i="1"/>
  <c r="AB196" i="1"/>
  <c r="Z196" i="1"/>
  <c r="Y196" i="1"/>
  <c r="T196" i="1"/>
  <c r="O196" i="1"/>
  <c r="N196" i="1"/>
  <c r="R196" i="1" s="1"/>
  <c r="Z195" i="1"/>
  <c r="Y195" i="1"/>
  <c r="T195" i="1"/>
  <c r="O195" i="1"/>
  <c r="S195" i="1" s="1"/>
  <c r="N195" i="1"/>
  <c r="Z194" i="1"/>
  <c r="Y194" i="1"/>
  <c r="T194" i="1"/>
  <c r="O194" i="1"/>
  <c r="S194" i="1" s="1"/>
  <c r="N194" i="1"/>
  <c r="Z193" i="1"/>
  <c r="Y193" i="1"/>
  <c r="T193" i="1"/>
  <c r="O193" i="1"/>
  <c r="S193" i="1" s="1"/>
  <c r="N193" i="1"/>
  <c r="Z192" i="1"/>
  <c r="Y192" i="1"/>
  <c r="T192" i="1"/>
  <c r="O192" i="1"/>
  <c r="S192" i="1" s="1"/>
  <c r="N192" i="1"/>
  <c r="AB191" i="1"/>
  <c r="Z191" i="1"/>
  <c r="Y191" i="1"/>
  <c r="T191" i="1"/>
  <c r="O191" i="1"/>
  <c r="S191" i="1" s="1"/>
  <c r="N191" i="1"/>
  <c r="R191" i="1" s="1"/>
  <c r="Z190" i="1"/>
  <c r="Y190" i="1"/>
  <c r="T190" i="1"/>
  <c r="O190" i="1"/>
  <c r="S190" i="1" s="1"/>
  <c r="N190" i="1"/>
  <c r="R190" i="1" s="1"/>
  <c r="Z189" i="1"/>
  <c r="Y189" i="1"/>
  <c r="T189" i="1"/>
  <c r="O189" i="1"/>
  <c r="S189" i="1" s="1"/>
  <c r="N189" i="1"/>
  <c r="R189" i="1" s="1"/>
  <c r="W188" i="1"/>
  <c r="V188" i="1"/>
  <c r="T188" i="1"/>
  <c r="O188" i="1"/>
  <c r="N188" i="1"/>
  <c r="Z187" i="1"/>
  <c r="Y187" i="1"/>
  <c r="T187" i="1"/>
  <c r="O187" i="1"/>
  <c r="S187" i="1" s="1"/>
  <c r="N187" i="1"/>
  <c r="R187" i="1" s="1"/>
  <c r="AB186" i="1"/>
  <c r="Z186" i="1"/>
  <c r="Y186" i="1"/>
  <c r="T186" i="1"/>
  <c r="O186" i="1"/>
  <c r="N186" i="1"/>
  <c r="R186" i="1" s="1"/>
  <c r="Z185" i="1"/>
  <c r="Y185" i="1"/>
  <c r="T185" i="1"/>
  <c r="O185" i="1"/>
  <c r="S185" i="1" s="1"/>
  <c r="N185" i="1"/>
  <c r="Z184" i="1"/>
  <c r="Y184" i="1"/>
  <c r="T184" i="1"/>
  <c r="O184" i="1"/>
  <c r="S184" i="1" s="1"/>
  <c r="N184" i="1"/>
  <c r="R184" i="1" s="1"/>
  <c r="Z183" i="1"/>
  <c r="Y183" i="1"/>
  <c r="T183" i="1"/>
  <c r="O183" i="1"/>
  <c r="S183" i="1" s="1"/>
  <c r="N183" i="1"/>
  <c r="R183" i="1" s="1"/>
  <c r="Z182" i="1"/>
  <c r="Y182" i="1"/>
  <c r="T182" i="1"/>
  <c r="O182" i="1"/>
  <c r="S182" i="1" s="1"/>
  <c r="N182" i="1"/>
  <c r="AB181" i="1"/>
  <c r="Z181" i="1"/>
  <c r="Y181" i="1"/>
  <c r="T181" i="1"/>
  <c r="O181" i="1"/>
  <c r="S181" i="1" s="1"/>
  <c r="N181" i="1"/>
  <c r="R181" i="1" s="1"/>
  <c r="Z180" i="1"/>
  <c r="Y180" i="1"/>
  <c r="T180" i="1"/>
  <c r="O180" i="1"/>
  <c r="S180" i="1" s="1"/>
  <c r="N180" i="1"/>
  <c r="Z179" i="1"/>
  <c r="Y179" i="1"/>
  <c r="T179" i="1"/>
  <c r="O179" i="1"/>
  <c r="S179" i="1" s="1"/>
  <c r="N179" i="1"/>
  <c r="R179" i="1" s="1"/>
  <c r="Z178" i="1"/>
  <c r="Y178" i="1"/>
  <c r="T178" i="1"/>
  <c r="O178" i="1"/>
  <c r="N178" i="1"/>
  <c r="R178" i="1" s="1"/>
  <c r="Z177" i="1"/>
  <c r="Y177" i="1"/>
  <c r="T177" i="1"/>
  <c r="O177" i="1"/>
  <c r="S177" i="1" s="1"/>
  <c r="N177" i="1"/>
  <c r="Z176" i="1"/>
  <c r="Y176" i="1"/>
  <c r="T176" i="1"/>
  <c r="O176" i="1"/>
  <c r="S176" i="1" s="1"/>
  <c r="N176" i="1"/>
  <c r="R176" i="1" s="1"/>
  <c r="W175" i="1"/>
  <c r="V175" i="1"/>
  <c r="T175" i="1"/>
  <c r="O175" i="1"/>
  <c r="N175" i="1"/>
  <c r="Z174" i="1"/>
  <c r="Y174" i="1"/>
  <c r="T174" i="1"/>
  <c r="O174" i="1"/>
  <c r="S174" i="1" s="1"/>
  <c r="N174" i="1"/>
  <c r="R174" i="1" s="1"/>
  <c r="Z173" i="1"/>
  <c r="Y173" i="1"/>
  <c r="T173" i="1"/>
  <c r="O173" i="1"/>
  <c r="S173" i="1" s="1"/>
  <c r="N173" i="1"/>
  <c r="Z172" i="1"/>
  <c r="W172" i="1"/>
  <c r="Y172" i="1" s="1"/>
  <c r="T172" i="1"/>
  <c r="O172" i="1"/>
  <c r="N172" i="1"/>
  <c r="Z171" i="1"/>
  <c r="Y171" i="1"/>
  <c r="T171" i="1"/>
  <c r="O171" i="1"/>
  <c r="S171" i="1" s="1"/>
  <c r="N171" i="1"/>
  <c r="AB170" i="1"/>
  <c r="V170" i="1"/>
  <c r="Z170" i="1" s="1"/>
  <c r="T170" i="1"/>
  <c r="O170" i="1"/>
  <c r="S170" i="1" s="1"/>
  <c r="N170" i="1"/>
  <c r="AB169" i="1"/>
  <c r="Z169" i="1"/>
  <c r="Y169" i="1"/>
  <c r="T169" i="1"/>
  <c r="O169" i="1"/>
  <c r="S169" i="1" s="1"/>
  <c r="N169" i="1"/>
  <c r="AB168" i="1"/>
  <c r="Z168" i="1"/>
  <c r="Y168" i="1"/>
  <c r="T168" i="1"/>
  <c r="O168" i="1"/>
  <c r="S168" i="1" s="1"/>
  <c r="N168" i="1"/>
  <c r="Z167" i="1"/>
  <c r="Y167" i="1"/>
  <c r="T167" i="1"/>
  <c r="O167" i="1"/>
  <c r="S167" i="1" s="1"/>
  <c r="N167" i="1"/>
  <c r="R167" i="1" s="1"/>
  <c r="Z166" i="1"/>
  <c r="Y166" i="1"/>
  <c r="T166" i="1"/>
  <c r="O166" i="1"/>
  <c r="S166" i="1" s="1"/>
  <c r="N166" i="1"/>
  <c r="R166" i="1" s="1"/>
  <c r="Z165" i="1"/>
  <c r="Y165" i="1"/>
  <c r="T165" i="1"/>
  <c r="O165" i="1"/>
  <c r="S165" i="1" s="1"/>
  <c r="N165" i="1"/>
  <c r="Z164" i="1"/>
  <c r="Y164" i="1"/>
  <c r="T164" i="1"/>
  <c r="O164" i="1"/>
  <c r="S164" i="1" s="1"/>
  <c r="N164" i="1"/>
  <c r="Z163" i="1"/>
  <c r="Y163" i="1"/>
  <c r="T163" i="1"/>
  <c r="O163" i="1"/>
  <c r="S163" i="1" s="1"/>
  <c r="N163" i="1"/>
  <c r="Z162" i="1"/>
  <c r="Y162" i="1"/>
  <c r="T162" i="1"/>
  <c r="O162" i="1"/>
  <c r="S162" i="1" s="1"/>
  <c r="N162" i="1"/>
  <c r="Z161" i="1"/>
  <c r="Y161" i="1"/>
  <c r="T161" i="1"/>
  <c r="O161" i="1"/>
  <c r="S161" i="1" s="1"/>
  <c r="N161" i="1"/>
  <c r="Z160" i="1"/>
  <c r="Y160" i="1"/>
  <c r="T160" i="1"/>
  <c r="O160" i="1"/>
  <c r="S160" i="1" s="1"/>
  <c r="N160" i="1"/>
  <c r="W159" i="1"/>
  <c r="V159" i="1"/>
  <c r="Z159" i="1" s="1"/>
  <c r="T159" i="1"/>
  <c r="O159" i="1"/>
  <c r="N159" i="1"/>
  <c r="Z158" i="1"/>
  <c r="Y158" i="1"/>
  <c r="T158" i="1"/>
  <c r="O158" i="1"/>
  <c r="S158" i="1" s="1"/>
  <c r="N158" i="1"/>
  <c r="Z157" i="1"/>
  <c r="Y157" i="1"/>
  <c r="T157" i="1"/>
  <c r="O157" i="1"/>
  <c r="S157" i="1" s="1"/>
  <c r="N157" i="1"/>
  <c r="R157" i="1" s="1"/>
  <c r="V156" i="1"/>
  <c r="T156" i="1"/>
  <c r="O156" i="1"/>
  <c r="S156" i="1" s="1"/>
  <c r="N156" i="1"/>
  <c r="Z155" i="1"/>
  <c r="Y155" i="1"/>
  <c r="T155" i="1"/>
  <c r="O155" i="1"/>
  <c r="N155" i="1"/>
  <c r="R155" i="1" s="1"/>
  <c r="Z154" i="1"/>
  <c r="Y154" i="1"/>
  <c r="T154" i="1"/>
  <c r="O154" i="1"/>
  <c r="N154" i="1"/>
  <c r="R154" i="1" s="1"/>
  <c r="AB153" i="1"/>
  <c r="Z153" i="1"/>
  <c r="Y153" i="1"/>
  <c r="T153" i="1"/>
  <c r="O153" i="1"/>
  <c r="S153" i="1" s="1"/>
  <c r="N153" i="1"/>
  <c r="Z152" i="1"/>
  <c r="Y152" i="1"/>
  <c r="T152" i="1"/>
  <c r="O152" i="1"/>
  <c r="S152" i="1" s="1"/>
  <c r="N152" i="1"/>
  <c r="Z151" i="1"/>
  <c r="Y151" i="1"/>
  <c r="T151" i="1"/>
  <c r="O151" i="1"/>
  <c r="N151" i="1"/>
  <c r="R151" i="1" s="1"/>
  <c r="AB150" i="1"/>
  <c r="Z150" i="1"/>
  <c r="Y150" i="1"/>
  <c r="T150" i="1"/>
  <c r="O150" i="1"/>
  <c r="S150" i="1" s="1"/>
  <c r="N150" i="1"/>
  <c r="R150" i="1" s="1"/>
  <c r="Z149" i="1"/>
  <c r="Y149" i="1"/>
  <c r="T149" i="1"/>
  <c r="O149" i="1"/>
  <c r="S149" i="1" s="1"/>
  <c r="N149" i="1"/>
  <c r="R149" i="1" s="1"/>
  <c r="AB148" i="1"/>
  <c r="Z148" i="1"/>
  <c r="Y148" i="1"/>
  <c r="T148" i="1"/>
  <c r="O148" i="1"/>
  <c r="S148" i="1" s="1"/>
  <c r="N148" i="1"/>
  <c r="V147" i="1"/>
  <c r="Z147" i="1" s="1"/>
  <c r="T147" i="1"/>
  <c r="O147" i="1"/>
  <c r="S147" i="1" s="1"/>
  <c r="N147" i="1"/>
  <c r="AB146" i="1"/>
  <c r="X146" i="1"/>
  <c r="W146" i="1"/>
  <c r="V146" i="1"/>
  <c r="O146" i="1"/>
  <c r="N146" i="1"/>
  <c r="Z145" i="1"/>
  <c r="Y145" i="1"/>
  <c r="T145" i="1"/>
  <c r="O145" i="1"/>
  <c r="S145" i="1" s="1"/>
  <c r="N145" i="1"/>
  <c r="R145" i="1" s="1"/>
  <c r="Z144" i="1"/>
  <c r="Y144" i="1"/>
  <c r="T144" i="1"/>
  <c r="O144" i="1"/>
  <c r="N144" i="1"/>
  <c r="Z143" i="1"/>
  <c r="Y143" i="1"/>
  <c r="T143" i="1"/>
  <c r="O143" i="1"/>
  <c r="S143" i="1" s="1"/>
  <c r="N143" i="1"/>
  <c r="Z142" i="1"/>
  <c r="Y142" i="1"/>
  <c r="T142" i="1"/>
  <c r="O142" i="1"/>
  <c r="S142" i="1" s="1"/>
  <c r="N142" i="1"/>
  <c r="R142" i="1" s="1"/>
  <c r="Z141" i="1"/>
  <c r="Y141" i="1"/>
  <c r="T141" i="1"/>
  <c r="H141" i="1"/>
  <c r="O141" i="1" s="1"/>
  <c r="Z140" i="1"/>
  <c r="Y140" i="1"/>
  <c r="T140" i="1"/>
  <c r="O140" i="1"/>
  <c r="S140" i="1" s="1"/>
  <c r="N140" i="1"/>
  <c r="R140" i="1" s="1"/>
  <c r="X139" i="1"/>
  <c r="T139" i="1" s="1"/>
  <c r="W139" i="1"/>
  <c r="V139" i="1"/>
  <c r="Z139" i="1" s="1"/>
  <c r="O139" i="1"/>
  <c r="N139" i="1"/>
  <c r="Z138" i="1"/>
  <c r="Y138" i="1"/>
  <c r="T138" i="1"/>
  <c r="O138" i="1"/>
  <c r="S138" i="1" s="1"/>
  <c r="N138" i="1"/>
  <c r="Z137" i="1"/>
  <c r="Y137" i="1"/>
  <c r="T137" i="1"/>
  <c r="O137" i="1"/>
  <c r="N137" i="1"/>
  <c r="R137" i="1" s="1"/>
  <c r="Z136" i="1"/>
  <c r="Y136" i="1"/>
  <c r="T136" i="1"/>
  <c r="O136" i="1"/>
  <c r="S136" i="1" s="1"/>
  <c r="N136" i="1"/>
  <c r="R136" i="1" s="1"/>
  <c r="Z135" i="1"/>
  <c r="Y135" i="1"/>
  <c r="T135" i="1"/>
  <c r="O135" i="1"/>
  <c r="S135" i="1" s="1"/>
  <c r="N135" i="1"/>
  <c r="R135" i="1" s="1"/>
  <c r="AB134" i="1"/>
  <c r="V134" i="1"/>
  <c r="Z134" i="1" s="1"/>
  <c r="T134" i="1"/>
  <c r="O134" i="1"/>
  <c r="S134" i="1" s="1"/>
  <c r="N134" i="1"/>
  <c r="Z133" i="1"/>
  <c r="Y133" i="1"/>
  <c r="T133" i="1"/>
  <c r="O133" i="1"/>
  <c r="S133" i="1" s="1"/>
  <c r="N133" i="1"/>
  <c r="Z132" i="1"/>
  <c r="Y132" i="1"/>
  <c r="T132" i="1"/>
  <c r="O132" i="1"/>
  <c r="N132" i="1"/>
  <c r="R132" i="1" s="1"/>
  <c r="Z131" i="1"/>
  <c r="Y131" i="1"/>
  <c r="T131" i="1"/>
  <c r="O131" i="1"/>
  <c r="S131" i="1" s="1"/>
  <c r="N131" i="1"/>
  <c r="R131" i="1" s="1"/>
  <c r="AB130" i="1"/>
  <c r="Z130" i="1"/>
  <c r="Y130" i="1"/>
  <c r="T130" i="1"/>
  <c r="O130" i="1"/>
  <c r="N130" i="1"/>
  <c r="R130" i="1" s="1"/>
  <c r="AB129" i="1"/>
  <c r="Z129" i="1"/>
  <c r="Y129" i="1"/>
  <c r="T129" i="1"/>
  <c r="O129" i="1"/>
  <c r="S129" i="1" s="1"/>
  <c r="N129" i="1"/>
  <c r="Z128" i="1"/>
  <c r="Y128" i="1"/>
  <c r="T128" i="1"/>
  <c r="O128" i="1"/>
  <c r="S128" i="1" s="1"/>
  <c r="N128" i="1"/>
  <c r="R128" i="1" s="1"/>
  <c r="Z127" i="1"/>
  <c r="Y127" i="1"/>
  <c r="T127" i="1"/>
  <c r="O127" i="1"/>
  <c r="S127" i="1" s="1"/>
  <c r="N127" i="1"/>
  <c r="R127" i="1" s="1"/>
  <c r="Z126" i="1"/>
  <c r="Y126" i="1"/>
  <c r="T126" i="1"/>
  <c r="O126" i="1"/>
  <c r="S126" i="1" s="1"/>
  <c r="N126" i="1"/>
  <c r="R126" i="1" s="1"/>
  <c r="Z125" i="1"/>
  <c r="Y125" i="1"/>
  <c r="T125" i="1"/>
  <c r="O125" i="1"/>
  <c r="S125" i="1" s="1"/>
  <c r="N125" i="1"/>
  <c r="Z124" i="1"/>
  <c r="Y124" i="1"/>
  <c r="T124" i="1"/>
  <c r="O124" i="1"/>
  <c r="N124" i="1"/>
  <c r="R124" i="1" s="1"/>
  <c r="AB123" i="1"/>
  <c r="Z123" i="1"/>
  <c r="Y123" i="1"/>
  <c r="T123" i="1"/>
  <c r="O123" i="1"/>
  <c r="S123" i="1" s="1"/>
  <c r="N123" i="1"/>
  <c r="R123" i="1" s="1"/>
  <c r="Z122" i="1"/>
  <c r="Y122" i="1"/>
  <c r="T122" i="1"/>
  <c r="O122" i="1"/>
  <c r="S122" i="1" s="1"/>
  <c r="N122" i="1"/>
  <c r="R122" i="1" s="1"/>
  <c r="Z121" i="1"/>
  <c r="Y121" i="1"/>
  <c r="T121" i="1"/>
  <c r="O121" i="1"/>
  <c r="S121" i="1" s="1"/>
  <c r="N121" i="1"/>
  <c r="R121" i="1" s="1"/>
  <c r="Z120" i="1"/>
  <c r="Y120" i="1"/>
  <c r="T120" i="1"/>
  <c r="O120" i="1"/>
  <c r="S120" i="1" s="1"/>
  <c r="N120" i="1"/>
  <c r="Z119" i="1"/>
  <c r="Y119" i="1"/>
  <c r="T119" i="1"/>
  <c r="O119" i="1"/>
  <c r="S119" i="1" s="1"/>
  <c r="N119" i="1"/>
  <c r="R119" i="1" s="1"/>
  <c r="Z118" i="1"/>
  <c r="Y118" i="1"/>
  <c r="T118" i="1"/>
  <c r="O118" i="1"/>
  <c r="N118" i="1"/>
  <c r="R118" i="1" s="1"/>
  <c r="Z117" i="1"/>
  <c r="Y117" i="1"/>
  <c r="T117" i="1"/>
  <c r="O117" i="1"/>
  <c r="S117" i="1" s="1"/>
  <c r="N117" i="1"/>
  <c r="Z116" i="1"/>
  <c r="Y116" i="1"/>
  <c r="T116" i="1"/>
  <c r="O116" i="1"/>
  <c r="S116" i="1" s="1"/>
  <c r="N116" i="1"/>
  <c r="R116" i="1" s="1"/>
  <c r="Z115" i="1"/>
  <c r="J115" i="1" s="1"/>
  <c r="L115" i="1" s="1"/>
  <c r="Y115" i="1"/>
  <c r="T115" i="1"/>
  <c r="S115" i="1"/>
  <c r="R115" i="1"/>
  <c r="Q115" i="1"/>
  <c r="Z114" i="1"/>
  <c r="J114" i="1" s="1"/>
  <c r="L114" i="1" s="1"/>
  <c r="Y114" i="1"/>
  <c r="T114" i="1"/>
  <c r="S114" i="1"/>
  <c r="Q114" i="1"/>
  <c r="Z113" i="1"/>
  <c r="J113" i="1" s="1"/>
  <c r="L113" i="1" s="1"/>
  <c r="Y113" i="1"/>
  <c r="T113" i="1"/>
  <c r="U113" i="1" s="1"/>
  <c r="Q113" i="1"/>
  <c r="Z112" i="1"/>
  <c r="J112" i="1" s="1"/>
  <c r="L112" i="1" s="1"/>
  <c r="Y112" i="1"/>
  <c r="U112" i="1"/>
  <c r="Q112" i="1"/>
  <c r="Z111" i="1"/>
  <c r="J111" i="1" s="1"/>
  <c r="L111" i="1" s="1"/>
  <c r="Y111" i="1"/>
  <c r="U111" i="1"/>
  <c r="Q111" i="1"/>
  <c r="Z110" i="1"/>
  <c r="J110" i="1" s="1"/>
  <c r="L110" i="1" s="1"/>
  <c r="Y110" i="1"/>
  <c r="U110" i="1"/>
  <c r="Q110" i="1"/>
  <c r="Z109" i="1"/>
  <c r="J109" i="1" s="1"/>
  <c r="L109" i="1" s="1"/>
  <c r="Y109" i="1"/>
  <c r="U109" i="1"/>
  <c r="Q109" i="1"/>
  <c r="Z108" i="1"/>
  <c r="J108" i="1" s="1"/>
  <c r="L108" i="1" s="1"/>
  <c r="Y108" i="1"/>
  <c r="S108" i="1"/>
  <c r="U108" i="1" s="1"/>
  <c r="Q108" i="1"/>
  <c r="Z107" i="1"/>
  <c r="J107" i="1" s="1"/>
  <c r="L107" i="1" s="1"/>
  <c r="Y107" i="1"/>
  <c r="U107" i="1"/>
  <c r="Q107" i="1"/>
  <c r="Z106" i="1"/>
  <c r="J106" i="1" s="1"/>
  <c r="L106" i="1" s="1"/>
  <c r="Y106" i="1"/>
  <c r="U106" i="1"/>
  <c r="Q106" i="1"/>
  <c r="Z105" i="1"/>
  <c r="J105" i="1" s="1"/>
  <c r="L105" i="1" s="1"/>
  <c r="Y105" i="1"/>
  <c r="U105" i="1"/>
  <c r="Q105" i="1"/>
  <c r="Z104" i="1"/>
  <c r="J104" i="1" s="1"/>
  <c r="L104" i="1" s="1"/>
  <c r="Y104" i="1"/>
  <c r="U104" i="1"/>
  <c r="Q104" i="1"/>
  <c r="Z103" i="1"/>
  <c r="J103" i="1" s="1"/>
  <c r="L103" i="1" s="1"/>
  <c r="Y103" i="1"/>
  <c r="U103" i="1"/>
  <c r="Q103" i="1"/>
  <c r="Z102" i="1"/>
  <c r="J102" i="1" s="1"/>
  <c r="L102" i="1" s="1"/>
  <c r="Y102" i="1"/>
  <c r="U102" i="1"/>
  <c r="Q102" i="1"/>
  <c r="Z101" i="1"/>
  <c r="J101" i="1" s="1"/>
  <c r="L101" i="1" s="1"/>
  <c r="Y101" i="1"/>
  <c r="T101" i="1"/>
  <c r="S101" i="1"/>
  <c r="R101" i="1"/>
  <c r="Q101" i="1"/>
  <c r="Z100" i="1"/>
  <c r="Y100" i="1"/>
  <c r="U100" i="1"/>
  <c r="Q100" i="1"/>
  <c r="L100" i="1"/>
  <c r="Z99" i="1"/>
  <c r="Y99" i="1"/>
  <c r="U99" i="1"/>
  <c r="Q99" i="1"/>
  <c r="L99" i="1"/>
  <c r="Z98" i="1"/>
  <c r="Y98" i="1"/>
  <c r="T98" i="1"/>
  <c r="S98" i="1"/>
  <c r="R98" i="1"/>
  <c r="Q98" i="1"/>
  <c r="L98" i="1"/>
  <c r="Z97" i="1"/>
  <c r="Y97" i="1"/>
  <c r="T97" i="1"/>
  <c r="U97" i="1" s="1"/>
  <c r="Q97" i="1"/>
  <c r="L97" i="1"/>
  <c r="Y96" i="1"/>
  <c r="T96" i="1"/>
  <c r="Q96" i="1"/>
  <c r="L96" i="1"/>
  <c r="Y95" i="1"/>
  <c r="T95" i="1"/>
  <c r="U95" i="1" s="1"/>
  <c r="Q95" i="1"/>
  <c r="L95" i="1"/>
  <c r="Y94" i="1"/>
  <c r="U94" i="1"/>
  <c r="Q94" i="1"/>
  <c r="L94" i="1"/>
  <c r="Y93" i="1"/>
  <c r="U93" i="1"/>
  <c r="O93" i="1"/>
  <c r="N93" i="1"/>
  <c r="L93" i="1"/>
  <c r="Y92" i="1"/>
  <c r="U92" i="1"/>
  <c r="O92" i="1"/>
  <c r="N92" i="1"/>
  <c r="L92" i="1"/>
  <c r="Y91" i="1"/>
  <c r="U91" i="1"/>
  <c r="O91" i="1"/>
  <c r="N91" i="1"/>
  <c r="L91" i="1"/>
  <c r="Y90" i="1"/>
  <c r="U90" i="1"/>
  <c r="O90" i="1"/>
  <c r="N90" i="1"/>
  <c r="L90" i="1"/>
  <c r="Y89" i="1"/>
  <c r="U89" i="1"/>
  <c r="O89" i="1"/>
  <c r="N89" i="1"/>
  <c r="L89" i="1"/>
  <c r="Y88" i="1"/>
  <c r="U88" i="1"/>
  <c r="O88" i="1"/>
  <c r="N88" i="1"/>
  <c r="L88" i="1"/>
  <c r="Y87" i="1"/>
  <c r="U87" i="1"/>
  <c r="O87" i="1"/>
  <c r="N87" i="1"/>
  <c r="L87" i="1"/>
  <c r="Y86" i="1"/>
  <c r="U86" i="1"/>
  <c r="O86" i="1"/>
  <c r="N86" i="1"/>
  <c r="L86" i="1"/>
  <c r="Y85" i="1"/>
  <c r="U85" i="1"/>
  <c r="O85" i="1"/>
  <c r="N85" i="1"/>
  <c r="L85" i="1"/>
  <c r="Y84" i="1"/>
  <c r="U84" i="1"/>
  <c r="O84" i="1"/>
  <c r="N84" i="1"/>
  <c r="L84" i="1"/>
  <c r="Y83" i="1"/>
  <c r="U83" i="1"/>
  <c r="O83" i="1"/>
  <c r="N83" i="1"/>
  <c r="L83" i="1"/>
  <c r="Y82" i="1"/>
  <c r="U82" i="1"/>
  <c r="O82" i="1"/>
  <c r="N82" i="1"/>
  <c r="L82" i="1"/>
  <c r="Y81" i="1"/>
  <c r="U81" i="1"/>
  <c r="O81" i="1"/>
  <c r="N81" i="1"/>
  <c r="L81" i="1"/>
  <c r="Y80" i="1"/>
  <c r="U80" i="1"/>
  <c r="O80" i="1"/>
  <c r="N80" i="1"/>
  <c r="L80" i="1"/>
  <c r="Y79" i="1"/>
  <c r="U79" i="1"/>
  <c r="O79" i="1"/>
  <c r="N79" i="1"/>
  <c r="L79" i="1"/>
  <c r="Y78" i="1"/>
  <c r="U78" i="1"/>
  <c r="O78" i="1"/>
  <c r="N78" i="1"/>
  <c r="L78" i="1"/>
  <c r="Y77" i="1"/>
  <c r="U77" i="1"/>
  <c r="O77" i="1"/>
  <c r="N77" i="1"/>
  <c r="L77" i="1"/>
  <c r="Y76" i="1"/>
  <c r="U76" i="1"/>
  <c r="O76" i="1"/>
  <c r="N76" i="1"/>
  <c r="L76" i="1"/>
  <c r="Y75" i="1"/>
  <c r="U75" i="1"/>
  <c r="Q75" i="1"/>
  <c r="L75" i="1"/>
  <c r="Y74" i="1"/>
  <c r="U74" i="1"/>
  <c r="Q74" i="1"/>
  <c r="L74" i="1"/>
  <c r="Y73" i="1"/>
  <c r="U73" i="1"/>
  <c r="Q73" i="1"/>
  <c r="L73" i="1"/>
  <c r="Y72" i="1"/>
  <c r="U72" i="1"/>
  <c r="Q72" i="1"/>
  <c r="L72" i="1"/>
  <c r="Y71" i="1"/>
  <c r="U71" i="1"/>
  <c r="Q71" i="1"/>
  <c r="L71" i="1"/>
  <c r="Y70" i="1"/>
  <c r="U70" i="1"/>
  <c r="Q70" i="1"/>
  <c r="L70" i="1"/>
  <c r="Y69" i="1"/>
  <c r="U69" i="1"/>
  <c r="O69" i="1"/>
  <c r="N69" i="1"/>
  <c r="L69" i="1"/>
  <c r="Y68" i="1"/>
  <c r="U68" i="1"/>
  <c r="O68" i="1"/>
  <c r="N68" i="1"/>
  <c r="L68" i="1"/>
  <c r="Y67" i="1"/>
  <c r="U67" i="1"/>
  <c r="O67" i="1"/>
  <c r="N67" i="1"/>
  <c r="L67" i="1"/>
  <c r="Y66" i="1"/>
  <c r="U66" i="1"/>
  <c r="Q66" i="1"/>
  <c r="L66" i="1"/>
  <c r="Y65" i="1"/>
  <c r="U65" i="1"/>
  <c r="Q65" i="1"/>
  <c r="L65" i="1"/>
  <c r="Y64" i="1"/>
  <c r="U64" i="1"/>
  <c r="O64" i="1"/>
  <c r="N64" i="1"/>
  <c r="L64" i="1"/>
  <c r="Y63" i="1"/>
  <c r="U63" i="1"/>
  <c r="Q63" i="1"/>
  <c r="L63" i="1"/>
  <c r="Y62" i="1"/>
  <c r="U62" i="1"/>
  <c r="Q62" i="1"/>
  <c r="L62" i="1"/>
  <c r="Y61" i="1"/>
  <c r="Q61" i="1"/>
  <c r="L61" i="1"/>
  <c r="Y60" i="1"/>
  <c r="U60" i="1"/>
  <c r="Q60" i="1"/>
  <c r="L60" i="1"/>
  <c r="Z59" i="1"/>
  <c r="Y59" i="1"/>
  <c r="U59" i="1"/>
  <c r="O59" i="1"/>
  <c r="Q59" i="1" s="1"/>
  <c r="L59" i="1"/>
  <c r="Z58" i="1"/>
  <c r="Y58" i="1"/>
  <c r="U58" i="1"/>
  <c r="O58" i="1"/>
  <c r="Q58" i="1" s="1"/>
  <c r="L58" i="1"/>
  <c r="Z57" i="1"/>
  <c r="Y57" i="1"/>
  <c r="U57" i="1"/>
  <c r="O57" i="1"/>
  <c r="Q57" i="1" s="1"/>
  <c r="L57" i="1"/>
  <c r="Z56" i="1"/>
  <c r="Y56" i="1"/>
  <c r="T56" i="1"/>
  <c r="U56" i="1" s="1"/>
  <c r="Q56" i="1"/>
  <c r="L56" i="1"/>
  <c r="Z55" i="1"/>
  <c r="Y55" i="1"/>
  <c r="U55" i="1"/>
  <c r="Q55" i="1"/>
  <c r="L55" i="1"/>
  <c r="Z54" i="1"/>
  <c r="Y54" i="1"/>
  <c r="T54" i="1"/>
  <c r="U54" i="1" s="1"/>
  <c r="Q54" i="1"/>
  <c r="L54" i="1"/>
  <c r="Z53" i="1"/>
  <c r="Y53" i="1"/>
  <c r="U53" i="1"/>
  <c r="O53" i="1"/>
  <c r="Q53" i="1" s="1"/>
  <c r="L53" i="1"/>
  <c r="Z52" i="1"/>
  <c r="Y52" i="1"/>
  <c r="T52" i="1"/>
  <c r="U52" i="1" s="1"/>
  <c r="O52" i="1"/>
  <c r="Q52" i="1" s="1"/>
  <c r="L52" i="1"/>
  <c r="Z51" i="1"/>
  <c r="Y51" i="1"/>
  <c r="T51" i="1"/>
  <c r="U51" i="1" s="1"/>
  <c r="O51" i="1"/>
  <c r="Q51" i="1" s="1"/>
  <c r="L51" i="1"/>
  <c r="Y50" i="1"/>
  <c r="T50" i="1"/>
  <c r="U50" i="1" s="1"/>
  <c r="O50" i="1"/>
  <c r="N50" i="1"/>
  <c r="M50" i="1"/>
  <c r="Z50" i="1" s="1"/>
  <c r="Z49" i="1"/>
  <c r="W49" i="1"/>
  <c r="Y49" i="1" s="1"/>
  <c r="T49" i="1"/>
  <c r="U49" i="1" s="1"/>
  <c r="O49" i="1"/>
  <c r="Q49" i="1" s="1"/>
  <c r="L49" i="1"/>
  <c r="Y48" i="1"/>
  <c r="U48" i="1"/>
  <c r="L48" i="1"/>
  <c r="Y47" i="1"/>
  <c r="U47" i="1"/>
  <c r="L47" i="1"/>
  <c r="Y46" i="1"/>
  <c r="U46" i="1"/>
  <c r="L46" i="1"/>
  <c r="Y45" i="1"/>
  <c r="U45" i="1"/>
  <c r="L45" i="1"/>
  <c r="Y44" i="1"/>
  <c r="U44" i="1"/>
  <c r="L44" i="1"/>
  <c r="Y43" i="1"/>
  <c r="U43" i="1"/>
  <c r="L43" i="1"/>
  <c r="Y42" i="1"/>
  <c r="U42" i="1"/>
  <c r="L42" i="1"/>
  <c r="Y41" i="1"/>
  <c r="U41" i="1"/>
  <c r="L41" i="1"/>
  <c r="Y40" i="1"/>
  <c r="U40" i="1"/>
  <c r="L40" i="1"/>
  <c r="Y39" i="1"/>
  <c r="U39" i="1"/>
  <c r="Q39" i="1"/>
  <c r="L39" i="1"/>
  <c r="Y38" i="1"/>
  <c r="U38" i="1"/>
  <c r="Q38" i="1"/>
  <c r="L38" i="1"/>
  <c r="Y37" i="1"/>
  <c r="U37" i="1"/>
  <c r="Q37" i="1"/>
  <c r="L37" i="1"/>
  <c r="Y36" i="1"/>
  <c r="U36" i="1"/>
  <c r="Q36" i="1"/>
  <c r="L36" i="1"/>
  <c r="Y35" i="1"/>
  <c r="U35" i="1"/>
  <c r="Q35" i="1"/>
  <c r="L35" i="1"/>
  <c r="Y34" i="1"/>
  <c r="U34" i="1"/>
  <c r="Q34" i="1"/>
  <c r="L34" i="1"/>
  <c r="Y33" i="1"/>
  <c r="U33" i="1"/>
  <c r="Q33" i="1"/>
  <c r="L33" i="1"/>
  <c r="Y32" i="1"/>
  <c r="U32" i="1"/>
  <c r="Q32" i="1"/>
  <c r="L32" i="1"/>
  <c r="Y31" i="1"/>
  <c r="U31" i="1"/>
  <c r="Q31" i="1"/>
  <c r="L31" i="1"/>
  <c r="Y30" i="1"/>
  <c r="U30" i="1"/>
  <c r="O30" i="1"/>
  <c r="Q30" i="1" s="1"/>
  <c r="L30" i="1"/>
  <c r="Y29" i="1"/>
  <c r="U29" i="1"/>
  <c r="Q29" i="1"/>
  <c r="L29" i="1"/>
  <c r="Y28" i="1"/>
  <c r="U28" i="1"/>
  <c r="Q28" i="1"/>
  <c r="L28" i="1"/>
  <c r="Y27" i="1"/>
  <c r="U27" i="1"/>
  <c r="Q27" i="1"/>
  <c r="L27" i="1"/>
  <c r="Y26" i="1"/>
  <c r="U26" i="1"/>
  <c r="Q26" i="1"/>
  <c r="L26" i="1"/>
  <c r="Y25" i="1"/>
  <c r="U25" i="1"/>
  <c r="Q25" i="1"/>
  <c r="L25" i="1"/>
  <c r="Y24" i="1"/>
  <c r="U24" i="1"/>
  <c r="Q24" i="1"/>
  <c r="L24" i="1"/>
  <c r="Y23" i="1"/>
  <c r="U23" i="1"/>
  <c r="Q23" i="1"/>
  <c r="L23" i="1"/>
  <c r="Y22" i="1"/>
  <c r="U22" i="1"/>
  <c r="Q22" i="1"/>
  <c r="L22" i="1"/>
  <c r="Y21" i="1"/>
  <c r="U21" i="1"/>
  <c r="Q21" i="1"/>
  <c r="L21" i="1"/>
  <c r="Y20" i="1"/>
  <c r="U20" i="1"/>
  <c r="Q20" i="1"/>
  <c r="L20" i="1"/>
  <c r="Y19" i="1"/>
  <c r="U19" i="1"/>
  <c r="Q19" i="1"/>
  <c r="L19" i="1"/>
  <c r="Y18" i="1"/>
  <c r="U18" i="1"/>
  <c r="Q18" i="1"/>
  <c r="L18" i="1"/>
  <c r="U17" i="1"/>
  <c r="Q17" i="1"/>
  <c r="L17" i="1"/>
  <c r="Y16" i="1"/>
  <c r="U16" i="1"/>
  <c r="Q16" i="1"/>
  <c r="L16" i="1"/>
  <c r="Y15" i="1"/>
  <c r="U15" i="1"/>
  <c r="Q15" i="1"/>
  <c r="L15" i="1"/>
  <c r="Y14" i="1"/>
  <c r="U14" i="1"/>
  <c r="Q14" i="1"/>
  <c r="L14" i="1"/>
  <c r="Y13" i="1"/>
  <c r="U13" i="1"/>
  <c r="Q13" i="1"/>
  <c r="L13" i="1"/>
  <c r="Y12" i="1"/>
  <c r="U12" i="1"/>
  <c r="Q12" i="1"/>
  <c r="L12" i="1"/>
  <c r="Y11" i="1"/>
  <c r="U11" i="1"/>
  <c r="Q11" i="1"/>
  <c r="L11" i="1"/>
  <c r="Y10" i="1"/>
  <c r="U10" i="1"/>
  <c r="Q10" i="1"/>
  <c r="L10" i="1"/>
  <c r="Y9" i="1"/>
  <c r="U9" i="1"/>
  <c r="Q9" i="1"/>
  <c r="L9" i="1"/>
  <c r="Y8" i="1"/>
  <c r="U8" i="1"/>
  <c r="Q8" i="1"/>
  <c r="L8" i="1"/>
  <c r="J594" i="1" l="1"/>
  <c r="L594" i="1" s="1"/>
  <c r="J602" i="1"/>
  <c r="L602" i="1" s="1"/>
  <c r="J608" i="1"/>
  <c r="L608" i="1" s="1"/>
  <c r="J631" i="1"/>
  <c r="L631" i="1" s="1"/>
  <c r="J634" i="1"/>
  <c r="L634" i="1" s="1"/>
  <c r="J642" i="1"/>
  <c r="L642" i="1" s="1"/>
  <c r="Q146" i="1"/>
  <c r="Q432" i="1"/>
  <c r="J317" i="1"/>
  <c r="L317" i="1" s="1"/>
  <c r="J337" i="1"/>
  <c r="L337" i="1" s="1"/>
  <c r="J289" i="1"/>
  <c r="L289" i="1" s="1"/>
  <c r="J402" i="1"/>
  <c r="L402" i="1" s="1"/>
  <c r="J541" i="1"/>
  <c r="L541" i="1" s="1"/>
  <c r="Q260" i="1"/>
  <c r="AB260" i="1" s="1"/>
  <c r="Q435" i="1"/>
  <c r="S441" i="1"/>
  <c r="J196" i="1"/>
  <c r="L196" i="1" s="1"/>
  <c r="J234" i="1"/>
  <c r="L234" i="1" s="1"/>
  <c r="J432" i="1"/>
  <c r="L432" i="1" s="1"/>
  <c r="S450" i="1"/>
  <c r="J530" i="1"/>
  <c r="L530" i="1" s="1"/>
  <c r="J601" i="1"/>
  <c r="L601" i="1" s="1"/>
  <c r="J556" i="1"/>
  <c r="L556" i="1" s="1"/>
  <c r="J563" i="1"/>
  <c r="L563" i="1" s="1"/>
  <c r="Q257" i="1"/>
  <c r="AB257" i="1" s="1"/>
  <c r="J393" i="1"/>
  <c r="L393" i="1" s="1"/>
  <c r="U511" i="1"/>
  <c r="Q629" i="1"/>
  <c r="Q92" i="1"/>
  <c r="J139" i="1"/>
  <c r="L139" i="1" s="1"/>
  <c r="S304" i="1"/>
  <c r="Q343" i="1"/>
  <c r="Q377" i="1"/>
  <c r="J401" i="1"/>
  <c r="L401" i="1" s="1"/>
  <c r="J144" i="1"/>
  <c r="L144" i="1" s="1"/>
  <c r="J172" i="1"/>
  <c r="L172" i="1" s="1"/>
  <c r="J281" i="1"/>
  <c r="L281" i="1" s="1"/>
  <c r="J434" i="1"/>
  <c r="L434" i="1" s="1"/>
  <c r="J118" i="1"/>
  <c r="L118" i="1" s="1"/>
  <c r="J145" i="1"/>
  <c r="L145" i="1" s="1"/>
  <c r="R159" i="1"/>
  <c r="J173" i="1"/>
  <c r="L173" i="1" s="1"/>
  <c r="J231" i="1"/>
  <c r="L231" i="1" s="1"/>
  <c r="U317" i="1"/>
  <c r="J364" i="1"/>
  <c r="L364" i="1" s="1"/>
  <c r="J375" i="1"/>
  <c r="L375" i="1" s="1"/>
  <c r="R441" i="1"/>
  <c r="J480" i="1"/>
  <c r="L480" i="1" s="1"/>
  <c r="U484" i="1"/>
  <c r="J504" i="1"/>
  <c r="L504" i="1" s="1"/>
  <c r="Q466" i="1"/>
  <c r="Q153" i="1"/>
  <c r="Q156" i="1"/>
  <c r="U356" i="1"/>
  <c r="S489" i="1"/>
  <c r="J579" i="1"/>
  <c r="L579" i="1" s="1"/>
  <c r="J263" i="1"/>
  <c r="L263" i="1" s="1"/>
  <c r="J491" i="1"/>
  <c r="L491" i="1" s="1"/>
  <c r="Q622" i="1"/>
  <c r="J630" i="1"/>
  <c r="L630" i="1" s="1"/>
  <c r="J123" i="1"/>
  <c r="L123" i="1" s="1"/>
  <c r="J133" i="1"/>
  <c r="L133" i="1" s="1"/>
  <c r="J249" i="1"/>
  <c r="L249" i="1" s="1"/>
  <c r="J129" i="1"/>
  <c r="L129" i="1" s="1"/>
  <c r="J134" i="1"/>
  <c r="L134" i="1" s="1"/>
  <c r="J182" i="1"/>
  <c r="L182" i="1" s="1"/>
  <c r="U359" i="1"/>
  <c r="Q172" i="1"/>
  <c r="AB172" i="1" s="1"/>
  <c r="U247" i="1"/>
  <c r="S333" i="1"/>
  <c r="S460" i="1"/>
  <c r="J540" i="1"/>
  <c r="L540" i="1" s="1"/>
  <c r="Q335" i="1"/>
  <c r="J180" i="1"/>
  <c r="L180" i="1" s="1"/>
  <c r="J451" i="1"/>
  <c r="L451" i="1" s="1"/>
  <c r="J363" i="1"/>
  <c r="L363" i="1" s="1"/>
  <c r="J394" i="1"/>
  <c r="L394" i="1" s="1"/>
  <c r="J422" i="1"/>
  <c r="L422" i="1" s="1"/>
  <c r="J391" i="1"/>
  <c r="L391" i="1" s="1"/>
  <c r="J419" i="1"/>
  <c r="L419" i="1" s="1"/>
  <c r="Q580" i="1"/>
  <c r="Q642" i="1"/>
  <c r="J171" i="1"/>
  <c r="L171" i="1" s="1"/>
  <c r="J293" i="1"/>
  <c r="L293" i="1" s="1"/>
  <c r="J299" i="1"/>
  <c r="L299" i="1" s="1"/>
  <c r="U303" i="1"/>
  <c r="Q352" i="1"/>
  <c r="J395" i="1"/>
  <c r="L395" i="1" s="1"/>
  <c r="U190" i="1"/>
  <c r="U200" i="1"/>
  <c r="U431" i="1"/>
  <c r="J163" i="1"/>
  <c r="L163" i="1" s="1"/>
  <c r="Q273" i="1"/>
  <c r="R188" i="1"/>
  <c r="J383" i="1"/>
  <c r="L383" i="1" s="1"/>
  <c r="J443" i="1"/>
  <c r="L443" i="1" s="1"/>
  <c r="Q479" i="1"/>
  <c r="AB479" i="1" s="1"/>
  <c r="Q519" i="1"/>
  <c r="Q50" i="1"/>
  <c r="U114" i="1"/>
  <c r="Q313" i="1"/>
  <c r="AB313" i="1" s="1"/>
  <c r="J325" i="1"/>
  <c r="L325" i="1" s="1"/>
  <c r="J413" i="1"/>
  <c r="L413" i="1" s="1"/>
  <c r="Q619" i="1"/>
  <c r="J117" i="1"/>
  <c r="L117" i="1" s="1"/>
  <c r="J276" i="1"/>
  <c r="L276" i="1" s="1"/>
  <c r="J310" i="1"/>
  <c r="L310" i="1" s="1"/>
  <c r="J428" i="1"/>
  <c r="L428" i="1" s="1"/>
  <c r="J474" i="1"/>
  <c r="L474" i="1" s="1"/>
  <c r="J492" i="1"/>
  <c r="L492" i="1" s="1"/>
  <c r="J557" i="1"/>
  <c r="L557" i="1" s="1"/>
  <c r="Q638" i="1"/>
  <c r="Q77" i="1"/>
  <c r="Q221" i="1"/>
  <c r="AB221" i="1" s="1"/>
  <c r="J298" i="1"/>
  <c r="L298" i="1" s="1"/>
  <c r="J311" i="1"/>
  <c r="L311" i="1" s="1"/>
  <c r="S401" i="1"/>
  <c r="R414" i="1"/>
  <c r="R460" i="1"/>
  <c r="U460" i="1" s="1"/>
  <c r="J496" i="1"/>
  <c r="L496" i="1" s="1"/>
  <c r="J512" i="1"/>
  <c r="L512" i="1" s="1"/>
  <c r="U115" i="1"/>
  <c r="J199" i="1"/>
  <c r="L199" i="1" s="1"/>
  <c r="J208" i="1"/>
  <c r="L208" i="1" s="1"/>
  <c r="J215" i="1"/>
  <c r="L215" i="1" s="1"/>
  <c r="U238" i="1"/>
  <c r="J316" i="1"/>
  <c r="L316" i="1" s="1"/>
  <c r="U320" i="1"/>
  <c r="J406" i="1"/>
  <c r="L406" i="1" s="1"/>
  <c r="J411" i="1"/>
  <c r="L411" i="1" s="1"/>
  <c r="J487" i="1"/>
  <c r="L487" i="1" s="1"/>
  <c r="J516" i="1"/>
  <c r="L516" i="1" s="1"/>
  <c r="J569" i="1"/>
  <c r="L569" i="1" s="1"/>
  <c r="Q637" i="1"/>
  <c r="Q87" i="1"/>
  <c r="J151" i="1"/>
  <c r="L151" i="1" s="1"/>
  <c r="J403" i="1"/>
  <c r="L403" i="1" s="1"/>
  <c r="R447" i="1"/>
  <c r="Q474" i="1"/>
  <c r="Q517" i="1"/>
  <c r="AB517" i="1" s="1"/>
  <c r="U541" i="1"/>
  <c r="J181" i="1"/>
  <c r="L181" i="1" s="1"/>
  <c r="Y211" i="1"/>
  <c r="U233" i="1"/>
  <c r="Q408" i="1"/>
  <c r="Q515" i="1"/>
  <c r="U550" i="1"/>
  <c r="J193" i="1"/>
  <c r="L193" i="1" s="1"/>
  <c r="Q204" i="1"/>
  <c r="Z240" i="1"/>
  <c r="J240" i="1" s="1"/>
  <c r="L240" i="1" s="1"/>
  <c r="Q242" i="1"/>
  <c r="J294" i="1"/>
  <c r="L294" i="1" s="1"/>
  <c r="J322" i="1"/>
  <c r="L322" i="1" s="1"/>
  <c r="Y445" i="1"/>
  <c r="U485" i="1"/>
  <c r="Q512" i="1"/>
  <c r="AB512" i="1" s="1"/>
  <c r="J531" i="1"/>
  <c r="L531" i="1" s="1"/>
  <c r="R556" i="1"/>
  <c r="U556" i="1" s="1"/>
  <c r="J614" i="1"/>
  <c r="L614" i="1" s="1"/>
  <c r="U126" i="1"/>
  <c r="R129" i="1"/>
  <c r="Q293" i="1"/>
  <c r="S326" i="1"/>
  <c r="J471" i="1"/>
  <c r="L471" i="1" s="1"/>
  <c r="J135" i="1"/>
  <c r="L135" i="1" s="1"/>
  <c r="Q137" i="1"/>
  <c r="J138" i="1"/>
  <c r="L138" i="1" s="1"/>
  <c r="Q218" i="1"/>
  <c r="J252" i="1"/>
  <c r="L252" i="1" s="1"/>
  <c r="U264" i="1"/>
  <c r="J269" i="1"/>
  <c r="L269" i="1" s="1"/>
  <c r="J272" i="1"/>
  <c r="L272" i="1" s="1"/>
  <c r="Q289" i="1"/>
  <c r="J351" i="1"/>
  <c r="L351" i="1" s="1"/>
  <c r="J371" i="1"/>
  <c r="L371" i="1" s="1"/>
  <c r="Y441" i="1"/>
  <c r="Q443" i="1"/>
  <c r="U473" i="1"/>
  <c r="J515" i="1"/>
  <c r="L515" i="1" s="1"/>
  <c r="J220" i="1"/>
  <c r="L220" i="1" s="1"/>
  <c r="J236" i="1"/>
  <c r="L236" i="1" s="1"/>
  <c r="J318" i="1"/>
  <c r="L318" i="1" s="1"/>
  <c r="R325" i="1"/>
  <c r="J330" i="1"/>
  <c r="L330" i="1" s="1"/>
  <c r="S404" i="1"/>
  <c r="J576" i="1"/>
  <c r="L576" i="1" s="1"/>
  <c r="J116" i="1"/>
  <c r="L116" i="1" s="1"/>
  <c r="J335" i="1"/>
  <c r="L335" i="1" s="1"/>
  <c r="Q383" i="1"/>
  <c r="J405" i="1"/>
  <c r="L405" i="1" s="1"/>
  <c r="U410" i="1"/>
  <c r="Y414" i="1"/>
  <c r="J418" i="1"/>
  <c r="L418" i="1" s="1"/>
  <c r="U136" i="1"/>
  <c r="J150" i="1"/>
  <c r="L150" i="1" s="1"/>
  <c r="J170" i="1"/>
  <c r="L170" i="1" s="1"/>
  <c r="J191" i="1"/>
  <c r="L191" i="1" s="1"/>
  <c r="Q205" i="1"/>
  <c r="AB205" i="1" s="1"/>
  <c r="J218" i="1"/>
  <c r="L218" i="1" s="1"/>
  <c r="J238" i="1"/>
  <c r="L238" i="1" s="1"/>
  <c r="J246" i="1"/>
  <c r="L246" i="1" s="1"/>
  <c r="J348" i="1"/>
  <c r="L348" i="1" s="1"/>
  <c r="J425" i="1"/>
  <c r="L425" i="1" s="1"/>
  <c r="J464" i="1"/>
  <c r="L464" i="1" s="1"/>
  <c r="U501" i="1"/>
  <c r="Q537" i="1"/>
  <c r="AB537" i="1" s="1"/>
  <c r="J548" i="1"/>
  <c r="L548" i="1" s="1"/>
  <c r="J251" i="1"/>
  <c r="L251" i="1" s="1"/>
  <c r="J253" i="1"/>
  <c r="L253" i="1" s="1"/>
  <c r="J257" i="1"/>
  <c r="L257" i="1" s="1"/>
  <c r="J264" i="1"/>
  <c r="L264" i="1" s="1"/>
  <c r="Y280" i="1"/>
  <c r="S289" i="1"/>
  <c r="J309" i="1"/>
  <c r="L309" i="1" s="1"/>
  <c r="S383" i="1"/>
  <c r="U383" i="1" s="1"/>
  <c r="J407" i="1"/>
  <c r="L407" i="1" s="1"/>
  <c r="J427" i="1"/>
  <c r="L427" i="1" s="1"/>
  <c r="Q452" i="1"/>
  <c r="AB452" i="1" s="1"/>
  <c r="J453" i="1"/>
  <c r="L453" i="1" s="1"/>
  <c r="J497" i="1"/>
  <c r="L497" i="1" s="1"/>
  <c r="Q499" i="1"/>
  <c r="Q552" i="1"/>
  <c r="R557" i="1"/>
  <c r="U557" i="1" s="1"/>
  <c r="J562" i="1"/>
  <c r="L562" i="1" s="1"/>
  <c r="U598" i="1"/>
  <c r="Q620" i="1"/>
  <c r="U98" i="1"/>
  <c r="J174" i="1"/>
  <c r="L174" i="1" s="1"/>
  <c r="J187" i="1"/>
  <c r="L187" i="1" s="1"/>
  <c r="U189" i="1"/>
  <c r="J202" i="1"/>
  <c r="L202" i="1" s="1"/>
  <c r="S218" i="1"/>
  <c r="U218" i="1" s="1"/>
  <c r="J219" i="1"/>
  <c r="L219" i="1" s="1"/>
  <c r="J284" i="1"/>
  <c r="L284" i="1" s="1"/>
  <c r="R352" i="1"/>
  <c r="U352" i="1" s="1"/>
  <c r="Q391" i="1"/>
  <c r="AB391" i="1" s="1"/>
  <c r="J424" i="1"/>
  <c r="L424" i="1" s="1"/>
  <c r="R492" i="1"/>
  <c r="U492" i="1" s="1"/>
  <c r="Q93" i="1"/>
  <c r="Z211" i="1"/>
  <c r="J211" i="1" s="1"/>
  <c r="L211" i="1" s="1"/>
  <c r="J226" i="1"/>
  <c r="L226" i="1" s="1"/>
  <c r="J256" i="1"/>
  <c r="L256" i="1" s="1"/>
  <c r="Q366" i="1"/>
  <c r="Q439" i="1"/>
  <c r="AB439" i="1" s="1"/>
  <c r="S483" i="1"/>
  <c r="Q556" i="1"/>
  <c r="Q591" i="1"/>
  <c r="Q68" i="1"/>
  <c r="J137" i="1"/>
  <c r="L137" i="1" s="1"/>
  <c r="J189" i="1"/>
  <c r="L189" i="1" s="1"/>
  <c r="J250" i="1"/>
  <c r="L250" i="1" s="1"/>
  <c r="J259" i="1"/>
  <c r="L259" i="1" s="1"/>
  <c r="J308" i="1"/>
  <c r="L308" i="1" s="1"/>
  <c r="Q348" i="1"/>
  <c r="R408" i="1"/>
  <c r="U408" i="1" s="1"/>
  <c r="Q409" i="1"/>
  <c r="AB409" i="1" s="1"/>
  <c r="Q428" i="1"/>
  <c r="AB428" i="1" s="1"/>
  <c r="J436" i="1"/>
  <c r="L436" i="1" s="1"/>
  <c r="Q438" i="1"/>
  <c r="J440" i="1"/>
  <c r="L440" i="1" s="1"/>
  <c r="Z441" i="1"/>
  <c r="J441" i="1" s="1"/>
  <c r="L441" i="1" s="1"/>
  <c r="Q454" i="1"/>
  <c r="Q473" i="1"/>
  <c r="AB473" i="1" s="1"/>
  <c r="Q529" i="1"/>
  <c r="AB529" i="1" s="1"/>
  <c r="R569" i="1"/>
  <c r="Q576" i="1"/>
  <c r="Q577" i="1"/>
  <c r="Q79" i="1"/>
  <c r="J119" i="1"/>
  <c r="L119" i="1" s="1"/>
  <c r="U142" i="1"/>
  <c r="J148" i="1"/>
  <c r="L148" i="1" s="1"/>
  <c r="J155" i="1"/>
  <c r="L155" i="1" s="1"/>
  <c r="J190" i="1"/>
  <c r="L190" i="1" s="1"/>
  <c r="J207" i="1"/>
  <c r="L207" i="1" s="1"/>
  <c r="J319" i="1"/>
  <c r="L319" i="1" s="1"/>
  <c r="J352" i="1"/>
  <c r="L352" i="1" s="1"/>
  <c r="Q528" i="1"/>
  <c r="Q535" i="1"/>
  <c r="Y557" i="1"/>
  <c r="J570" i="1"/>
  <c r="L570" i="1" s="1"/>
  <c r="R576" i="1"/>
  <c r="J598" i="1"/>
  <c r="L598" i="1" s="1"/>
  <c r="Q81" i="1"/>
  <c r="U129" i="1"/>
  <c r="J166" i="1"/>
  <c r="L166" i="1" s="1"/>
  <c r="R211" i="1"/>
  <c r="R215" i="1"/>
  <c r="U215" i="1" s="1"/>
  <c r="Q216" i="1"/>
  <c r="AB216" i="1" s="1"/>
  <c r="J275" i="1"/>
  <c r="L275" i="1" s="1"/>
  <c r="J307" i="1"/>
  <c r="L307" i="1" s="1"/>
  <c r="Q397" i="1"/>
  <c r="AB397" i="1" s="1"/>
  <c r="R418" i="1"/>
  <c r="U418" i="1" s="1"/>
  <c r="R489" i="1"/>
  <c r="J502" i="1"/>
  <c r="L502" i="1" s="1"/>
  <c r="Q527" i="1"/>
  <c r="Q554" i="1"/>
  <c r="AB554" i="1" s="1"/>
  <c r="R580" i="1"/>
  <c r="J595" i="1"/>
  <c r="L595" i="1" s="1"/>
  <c r="Q78" i="1"/>
  <c r="Y147" i="1"/>
  <c r="U167" i="1"/>
  <c r="J320" i="1"/>
  <c r="L320" i="1" s="1"/>
  <c r="J435" i="1"/>
  <c r="L435" i="1" s="1"/>
  <c r="J449" i="1"/>
  <c r="L449" i="1" s="1"/>
  <c r="J468" i="1"/>
  <c r="L468" i="1" s="1"/>
  <c r="J473" i="1"/>
  <c r="L473" i="1" s="1"/>
  <c r="J482" i="1"/>
  <c r="L482" i="1" s="1"/>
  <c r="U496" i="1"/>
  <c r="J529" i="1"/>
  <c r="L529" i="1" s="1"/>
  <c r="J555" i="1"/>
  <c r="L555" i="1" s="1"/>
  <c r="J566" i="1"/>
  <c r="L566" i="1" s="1"/>
  <c r="S571" i="1"/>
  <c r="U596" i="1"/>
  <c r="J619" i="1"/>
  <c r="L619" i="1" s="1"/>
  <c r="Q69" i="1"/>
  <c r="Q91" i="1"/>
  <c r="J179" i="1"/>
  <c r="L179" i="1" s="1"/>
  <c r="R205" i="1"/>
  <c r="U205" i="1" s="1"/>
  <c r="J229" i="1"/>
  <c r="L229" i="1" s="1"/>
  <c r="Q247" i="1"/>
  <c r="J267" i="1"/>
  <c r="L267" i="1" s="1"/>
  <c r="Q411" i="1"/>
  <c r="Q447" i="1"/>
  <c r="Q520" i="1"/>
  <c r="AB520" i="1" s="1"/>
  <c r="Q541" i="1"/>
  <c r="AB541" i="1" s="1"/>
  <c r="J551" i="1"/>
  <c r="L551" i="1" s="1"/>
  <c r="Q567" i="1"/>
  <c r="Q573" i="1"/>
  <c r="J581" i="1"/>
  <c r="L581" i="1" s="1"/>
  <c r="Q583" i="1"/>
  <c r="AB583" i="1" s="1"/>
  <c r="U250" i="1"/>
  <c r="Q85" i="1"/>
  <c r="R139" i="1"/>
  <c r="U157" i="1"/>
  <c r="J159" i="1"/>
  <c r="L159" i="1" s="1"/>
  <c r="S172" i="1"/>
  <c r="Q202" i="1"/>
  <c r="J233" i="1"/>
  <c r="L233" i="1" s="1"/>
  <c r="J260" i="1"/>
  <c r="L260" i="1" s="1"/>
  <c r="J271" i="1"/>
  <c r="L271" i="1" s="1"/>
  <c r="Q274" i="1"/>
  <c r="Q315" i="1"/>
  <c r="J343" i="1"/>
  <c r="L343" i="1" s="1"/>
  <c r="Q471" i="1"/>
  <c r="Q482" i="1"/>
  <c r="J485" i="1"/>
  <c r="L485" i="1" s="1"/>
  <c r="J488" i="1"/>
  <c r="L488" i="1" s="1"/>
  <c r="J503" i="1"/>
  <c r="L503" i="1" s="1"/>
  <c r="R504" i="1"/>
  <c r="S530" i="1"/>
  <c r="Q539" i="1"/>
  <c r="Q569" i="1"/>
  <c r="Q570" i="1"/>
  <c r="AB570" i="1" s="1"/>
  <c r="U583" i="1"/>
  <c r="J588" i="1"/>
  <c r="L588" i="1" s="1"/>
  <c r="Q636" i="1"/>
  <c r="Q640" i="1"/>
  <c r="Q67" i="1"/>
  <c r="Q82" i="1"/>
  <c r="Q120" i="1"/>
  <c r="R144" i="1"/>
  <c r="J158" i="1"/>
  <c r="L158" i="1" s="1"/>
  <c r="J160" i="1"/>
  <c r="L160" i="1" s="1"/>
  <c r="Q171" i="1"/>
  <c r="R172" i="1"/>
  <c r="R173" i="1"/>
  <c r="U173" i="1" s="1"/>
  <c r="J183" i="1"/>
  <c r="L183" i="1" s="1"/>
  <c r="J185" i="1"/>
  <c r="L185" i="1" s="1"/>
  <c r="U208" i="1"/>
  <c r="Q215" i="1"/>
  <c r="Q220" i="1"/>
  <c r="J222" i="1"/>
  <c r="L222" i="1" s="1"/>
  <c r="U230" i="1"/>
  <c r="R231" i="1"/>
  <c r="Z237" i="1"/>
  <c r="J237" i="1" s="1"/>
  <c r="L237" i="1" s="1"/>
  <c r="U242" i="1"/>
  <c r="Q245" i="1"/>
  <c r="Q252" i="1"/>
  <c r="AB252" i="1" s="1"/>
  <c r="Q255" i="1"/>
  <c r="J279" i="1"/>
  <c r="L279" i="1" s="1"/>
  <c r="R289" i="1"/>
  <c r="J328" i="1"/>
  <c r="L328" i="1" s="1"/>
  <c r="U330" i="1"/>
  <c r="Q333" i="1"/>
  <c r="J355" i="1"/>
  <c r="L355" i="1" s="1"/>
  <c r="J358" i="1"/>
  <c r="L358" i="1" s="1"/>
  <c r="J369" i="1"/>
  <c r="L369" i="1" s="1"/>
  <c r="J376" i="1"/>
  <c r="L376" i="1" s="1"/>
  <c r="Q378" i="1"/>
  <c r="J397" i="1"/>
  <c r="L397" i="1" s="1"/>
  <c r="Y404" i="1"/>
  <c r="J408" i="1"/>
  <c r="L408" i="1" s="1"/>
  <c r="U425" i="1"/>
  <c r="J433" i="1"/>
  <c r="L433" i="1" s="1"/>
  <c r="J456" i="1"/>
  <c r="L456" i="1" s="1"/>
  <c r="Q486" i="1"/>
  <c r="AB486" i="1" s="1"/>
  <c r="J518" i="1"/>
  <c r="L518" i="1" s="1"/>
  <c r="U538" i="1"/>
  <c r="Q621" i="1"/>
  <c r="AB621" i="1" s="1"/>
  <c r="J624" i="1"/>
  <c r="L624" i="1" s="1"/>
  <c r="U457" i="1"/>
  <c r="J127" i="1"/>
  <c r="L127" i="1" s="1"/>
  <c r="Q179" i="1"/>
  <c r="AB179" i="1" s="1"/>
  <c r="Q186" i="1"/>
  <c r="S188" i="1"/>
  <c r="J228" i="1"/>
  <c r="L228" i="1" s="1"/>
  <c r="Q234" i="1"/>
  <c r="U245" i="1"/>
  <c r="J286" i="1"/>
  <c r="L286" i="1" s="1"/>
  <c r="J323" i="1"/>
  <c r="L323" i="1" s="1"/>
  <c r="Q330" i="1"/>
  <c r="Q340" i="1"/>
  <c r="J349" i="1"/>
  <c r="L349" i="1" s="1"/>
  <c r="J357" i="1"/>
  <c r="L357" i="1" s="1"/>
  <c r="Q394" i="1"/>
  <c r="R411" i="1"/>
  <c r="U411" i="1" s="1"/>
  <c r="S413" i="1"/>
  <c r="R428" i="1"/>
  <c r="U428" i="1" s="1"/>
  <c r="J459" i="1"/>
  <c r="L459" i="1" s="1"/>
  <c r="Q489" i="1"/>
  <c r="Q523" i="1"/>
  <c r="J546" i="1"/>
  <c r="L546" i="1" s="1"/>
  <c r="U585" i="1"/>
  <c r="Q616" i="1"/>
  <c r="Q628" i="1"/>
  <c r="U309" i="1"/>
  <c r="U101" i="1"/>
  <c r="J124" i="1"/>
  <c r="L124" i="1" s="1"/>
  <c r="T146" i="1"/>
  <c r="Y170" i="1"/>
  <c r="S175" i="1"/>
  <c r="J197" i="1"/>
  <c r="L197" i="1" s="1"/>
  <c r="Q199" i="1"/>
  <c r="R204" i="1"/>
  <c r="U204" i="1" s="1"/>
  <c r="J210" i="1"/>
  <c r="L210" i="1" s="1"/>
  <c r="J212" i="1"/>
  <c r="L212" i="1" s="1"/>
  <c r="J221" i="1"/>
  <c r="L221" i="1" s="1"/>
  <c r="U229" i="1"/>
  <c r="J254" i="1"/>
  <c r="L254" i="1" s="1"/>
  <c r="J262" i="1"/>
  <c r="L262" i="1" s="1"/>
  <c r="Q264" i="1"/>
  <c r="Q277" i="1"/>
  <c r="AB277" i="1" s="1"/>
  <c r="Q312" i="1"/>
  <c r="J315" i="1"/>
  <c r="L315" i="1" s="1"/>
  <c r="Y326" i="1"/>
  <c r="J332" i="1"/>
  <c r="L332" i="1" s="1"/>
  <c r="R343" i="1"/>
  <c r="U343" i="1" s="1"/>
  <c r="Q344" i="1"/>
  <c r="AB344" i="1" s="1"/>
  <c r="J345" i="1"/>
  <c r="L345" i="1" s="1"/>
  <c r="J368" i="1"/>
  <c r="L368" i="1" s="1"/>
  <c r="J374" i="1"/>
  <c r="L374" i="1" s="1"/>
  <c r="Q440" i="1"/>
  <c r="Q441" i="1"/>
  <c r="AB441" i="1" s="1"/>
  <c r="R443" i="1"/>
  <c r="U443" i="1" s="1"/>
  <c r="J447" i="1"/>
  <c r="L447" i="1" s="1"/>
  <c r="J455" i="1"/>
  <c r="L455" i="1" s="1"/>
  <c r="Q500" i="1"/>
  <c r="Q502" i="1"/>
  <c r="AB502" i="1" s="1"/>
  <c r="Q506" i="1"/>
  <c r="J535" i="1"/>
  <c r="L535" i="1" s="1"/>
  <c r="J538" i="1"/>
  <c r="L538" i="1" s="1"/>
  <c r="U547" i="1"/>
  <c r="R552" i="1"/>
  <c r="J558" i="1"/>
  <c r="L558" i="1" s="1"/>
  <c r="Q559" i="1"/>
  <c r="AB559" i="1" s="1"/>
  <c r="R567" i="1"/>
  <c r="U567" i="1" s="1"/>
  <c r="J609" i="1"/>
  <c r="L609" i="1" s="1"/>
  <c r="J615" i="1"/>
  <c r="L615" i="1" s="1"/>
  <c r="J623" i="1"/>
  <c r="L623" i="1" s="1"/>
  <c r="J636" i="1"/>
  <c r="L636" i="1" s="1"/>
  <c r="Q86" i="1"/>
  <c r="Q89" i="1"/>
  <c r="Q125" i="1"/>
  <c r="AB125" i="1" s="1"/>
  <c r="R134" i="1"/>
  <c r="U134" i="1" s="1"/>
  <c r="J176" i="1"/>
  <c r="L176" i="1" s="1"/>
  <c r="J205" i="1"/>
  <c r="L205" i="1" s="1"/>
  <c r="U225" i="1"/>
  <c r="R237" i="1"/>
  <c r="U237" i="1" s="1"/>
  <c r="R260" i="1"/>
  <c r="U260" i="1" s="1"/>
  <c r="J265" i="1"/>
  <c r="L265" i="1" s="1"/>
  <c r="Q276" i="1"/>
  <c r="Q281" i="1"/>
  <c r="Q338" i="1"/>
  <c r="J353" i="1"/>
  <c r="L353" i="1" s="1"/>
  <c r="U358" i="1"/>
  <c r="J412" i="1"/>
  <c r="L412" i="1" s="1"/>
  <c r="J444" i="1"/>
  <c r="L444" i="1" s="1"/>
  <c r="J454" i="1"/>
  <c r="L454" i="1" s="1"/>
  <c r="J458" i="1"/>
  <c r="L458" i="1" s="1"/>
  <c r="Q501" i="1"/>
  <c r="AB501" i="1" s="1"/>
  <c r="J522" i="1"/>
  <c r="L522" i="1" s="1"/>
  <c r="J527" i="1"/>
  <c r="L527" i="1" s="1"/>
  <c r="Q531" i="1"/>
  <c r="J539" i="1"/>
  <c r="L539" i="1" s="1"/>
  <c r="J554" i="1"/>
  <c r="L554" i="1" s="1"/>
  <c r="Q562" i="1"/>
  <c r="AB562" i="1" s="1"/>
  <c r="Q581" i="1"/>
  <c r="Q587" i="1"/>
  <c r="AB587" i="1" s="1"/>
  <c r="J589" i="1"/>
  <c r="L589" i="1" s="1"/>
  <c r="J600" i="1"/>
  <c r="L600" i="1" s="1"/>
  <c r="Q610" i="1"/>
  <c r="AB610" i="1" s="1"/>
  <c r="J621" i="1"/>
  <c r="L621" i="1" s="1"/>
  <c r="J625" i="1"/>
  <c r="L625" i="1" s="1"/>
  <c r="Q634" i="1"/>
  <c r="Q83" i="1"/>
  <c r="J126" i="1"/>
  <c r="L126" i="1" s="1"/>
  <c r="Q147" i="1"/>
  <c r="J169" i="1"/>
  <c r="L169" i="1" s="1"/>
  <c r="Q188" i="1"/>
  <c r="R199" i="1"/>
  <c r="U199" i="1" s="1"/>
  <c r="U209" i="1"/>
  <c r="J227" i="1"/>
  <c r="L227" i="1" s="1"/>
  <c r="U281" i="1"/>
  <c r="J314" i="1"/>
  <c r="L314" i="1" s="1"/>
  <c r="Q323" i="1"/>
  <c r="J327" i="1"/>
  <c r="L327" i="1" s="1"/>
  <c r="U337" i="1"/>
  <c r="Q392" i="1"/>
  <c r="AB392" i="1" s="1"/>
  <c r="J410" i="1"/>
  <c r="L410" i="1" s="1"/>
  <c r="Q430" i="1"/>
  <c r="J437" i="1"/>
  <c r="L437" i="1" s="1"/>
  <c r="U438" i="1"/>
  <c r="U440" i="1"/>
  <c r="Q450" i="1"/>
  <c r="U459" i="1"/>
  <c r="U546" i="1"/>
  <c r="J596" i="1"/>
  <c r="L596" i="1" s="1"/>
  <c r="J635" i="1"/>
  <c r="L635" i="1" s="1"/>
  <c r="J149" i="1"/>
  <c r="L149" i="1" s="1"/>
  <c r="J186" i="1"/>
  <c r="L186" i="1" s="1"/>
  <c r="J277" i="1"/>
  <c r="L277" i="1" s="1"/>
  <c r="R326" i="1"/>
  <c r="J367" i="1"/>
  <c r="L367" i="1" s="1"/>
  <c r="J377" i="1"/>
  <c r="L377" i="1" s="1"/>
  <c r="R413" i="1"/>
  <c r="U413" i="1" s="1"/>
  <c r="J417" i="1"/>
  <c r="L417" i="1" s="1"/>
  <c r="Q429" i="1"/>
  <c r="J457" i="1"/>
  <c r="L457" i="1" s="1"/>
  <c r="J484" i="1"/>
  <c r="L484" i="1" s="1"/>
  <c r="J506" i="1"/>
  <c r="L506" i="1" s="1"/>
  <c r="R512" i="1"/>
  <c r="U512" i="1" s="1"/>
  <c r="Q521" i="1"/>
  <c r="J523" i="1"/>
  <c r="L523" i="1" s="1"/>
  <c r="R531" i="1"/>
  <c r="U531" i="1" s="1"/>
  <c r="R535" i="1"/>
  <c r="U535" i="1" s="1"/>
  <c r="J582" i="1"/>
  <c r="L582" i="1" s="1"/>
  <c r="Q590" i="1"/>
  <c r="J620" i="1"/>
  <c r="L620" i="1" s="1"/>
  <c r="Q627" i="1"/>
  <c r="AB627" i="1" s="1"/>
  <c r="U131" i="1"/>
  <c r="R380" i="1"/>
  <c r="U380" i="1" s="1"/>
  <c r="Q380" i="1"/>
  <c r="R593" i="1"/>
  <c r="U593" i="1" s="1"/>
  <c r="J593" i="1"/>
  <c r="L593" i="1" s="1"/>
  <c r="U121" i="1"/>
  <c r="U123" i="1"/>
  <c r="J130" i="1"/>
  <c r="L130" i="1" s="1"/>
  <c r="J132" i="1"/>
  <c r="L132" i="1" s="1"/>
  <c r="Q158" i="1"/>
  <c r="R158" i="1"/>
  <c r="U158" i="1" s="1"/>
  <c r="Q168" i="1"/>
  <c r="R168" i="1"/>
  <c r="U168" i="1" s="1"/>
  <c r="R193" i="1"/>
  <c r="U193" i="1" s="1"/>
  <c r="Q193" i="1"/>
  <c r="R207" i="1"/>
  <c r="U207" i="1" s="1"/>
  <c r="Q207" i="1"/>
  <c r="R239" i="1"/>
  <c r="U239" i="1" s="1"/>
  <c r="Q239" i="1"/>
  <c r="R243" i="1"/>
  <c r="U243" i="1" s="1"/>
  <c r="Q243" i="1"/>
  <c r="J243" i="1"/>
  <c r="L243" i="1" s="1"/>
  <c r="R267" i="1"/>
  <c r="U267" i="1" s="1"/>
  <c r="Q267" i="1"/>
  <c r="AB267" i="1" s="1"/>
  <c r="Z273" i="1"/>
  <c r="J273" i="1" s="1"/>
  <c r="L273" i="1" s="1"/>
  <c r="Y273" i="1"/>
  <c r="R285" i="1"/>
  <c r="U285" i="1" s="1"/>
  <c r="Q285" i="1"/>
  <c r="AB285" i="1" s="1"/>
  <c r="R341" i="1"/>
  <c r="J341" i="1"/>
  <c r="L341" i="1" s="1"/>
  <c r="R388" i="1"/>
  <c r="U388" i="1" s="1"/>
  <c r="Q388" i="1"/>
  <c r="R360" i="1"/>
  <c r="U360" i="1" s="1"/>
  <c r="Q360" i="1"/>
  <c r="J360" i="1"/>
  <c r="L360" i="1" s="1"/>
  <c r="Q76" i="1"/>
  <c r="J131" i="1"/>
  <c r="L131" i="1" s="1"/>
  <c r="Q134" i="1"/>
  <c r="U135" i="1"/>
  <c r="Y139" i="1"/>
  <c r="J140" i="1"/>
  <c r="L140" i="1" s="1"/>
  <c r="S146" i="1"/>
  <c r="Q196" i="1"/>
  <c r="S196" i="1"/>
  <c r="R223" i="1"/>
  <c r="U223" i="1" s="1"/>
  <c r="Q223" i="1"/>
  <c r="J223" i="1"/>
  <c r="L223" i="1" s="1"/>
  <c r="Q258" i="1"/>
  <c r="J258" i="1"/>
  <c r="L258" i="1" s="1"/>
  <c r="J297" i="1"/>
  <c r="L297" i="1" s="1"/>
  <c r="Q328" i="1"/>
  <c r="J331" i="1"/>
  <c r="L331" i="1" s="1"/>
  <c r="U340" i="1"/>
  <c r="J346" i="1"/>
  <c r="L346" i="1" s="1"/>
  <c r="J359" i="1"/>
  <c r="L359" i="1" s="1"/>
  <c r="R279" i="1"/>
  <c r="U279" i="1" s="1"/>
  <c r="Q279" i="1"/>
  <c r="Q129" i="1"/>
  <c r="Q130" i="1"/>
  <c r="Q132" i="1"/>
  <c r="AB132" i="1" s="1"/>
  <c r="Q135" i="1"/>
  <c r="AB135" i="1" s="1"/>
  <c r="R148" i="1"/>
  <c r="U148" i="1" s="1"/>
  <c r="Q148" i="1"/>
  <c r="S202" i="1"/>
  <c r="U202" i="1" s="1"/>
  <c r="Q226" i="1"/>
  <c r="S226" i="1"/>
  <c r="U226" i="1" s="1"/>
  <c r="Q246" i="1"/>
  <c r="S246" i="1"/>
  <c r="U246" i="1" s="1"/>
  <c r="Q284" i="1"/>
  <c r="R295" i="1"/>
  <c r="Q295" i="1"/>
  <c r="R442" i="1"/>
  <c r="U442" i="1" s="1"/>
  <c r="Q442" i="1"/>
  <c r="J442" i="1"/>
  <c r="L442" i="1" s="1"/>
  <c r="R467" i="1"/>
  <c r="U467" i="1" s="1"/>
  <c r="J467" i="1"/>
  <c r="L467" i="1" s="1"/>
  <c r="R605" i="1"/>
  <c r="U605" i="1" s="1"/>
  <c r="Q605" i="1"/>
  <c r="J605" i="1"/>
  <c r="L605" i="1" s="1"/>
  <c r="Q118" i="1"/>
  <c r="U119" i="1"/>
  <c r="Q126" i="1"/>
  <c r="Q131" i="1"/>
  <c r="AB131" i="1" s="1"/>
  <c r="Q139" i="1"/>
  <c r="AB139" i="1" s="1"/>
  <c r="R153" i="1"/>
  <c r="J178" i="1"/>
  <c r="L178" i="1" s="1"/>
  <c r="J203" i="1"/>
  <c r="L203" i="1" s="1"/>
  <c r="Q213" i="1"/>
  <c r="AB213" i="1" s="1"/>
  <c r="R213" i="1"/>
  <c r="U213" i="1" s="1"/>
  <c r="Q241" i="1"/>
  <c r="S241" i="1"/>
  <c r="U241" i="1" s="1"/>
  <c r="Q305" i="1"/>
  <c r="AB305" i="1" s="1"/>
  <c r="R379" i="1"/>
  <c r="U379" i="1" s="1"/>
  <c r="Q379" i="1"/>
  <c r="R495" i="1"/>
  <c r="U495" i="1" s="1"/>
  <c r="Q495" i="1"/>
  <c r="J495" i="1"/>
  <c r="L495" i="1" s="1"/>
  <c r="R357" i="1"/>
  <c r="U357" i="1" s="1"/>
  <c r="Q357" i="1"/>
  <c r="Q90" i="1"/>
  <c r="Q116" i="1"/>
  <c r="Q119" i="1"/>
  <c r="Q127" i="1"/>
  <c r="AB127" i="1" s="1"/>
  <c r="S130" i="1"/>
  <c r="S132" i="1"/>
  <c r="U132" i="1" s="1"/>
  <c r="R152" i="1"/>
  <c r="U152" i="1" s="1"/>
  <c r="Q152" i="1"/>
  <c r="AB152" i="1" s="1"/>
  <c r="R163" i="1"/>
  <c r="U163" i="1" s="1"/>
  <c r="Q163" i="1"/>
  <c r="Q173" i="1"/>
  <c r="Q180" i="1"/>
  <c r="R180" i="1"/>
  <c r="U180" i="1" s="1"/>
  <c r="Q184" i="1"/>
  <c r="AB184" i="1" s="1"/>
  <c r="R194" i="1"/>
  <c r="U194" i="1" s="1"/>
  <c r="Q194" i="1"/>
  <c r="AB194" i="1" s="1"/>
  <c r="Q200" i="1"/>
  <c r="AB200" i="1" s="1"/>
  <c r="Q269" i="1"/>
  <c r="R286" i="1"/>
  <c r="U286" i="1" s="1"/>
  <c r="Q286" i="1"/>
  <c r="R290" i="1"/>
  <c r="U290" i="1" s="1"/>
  <c r="Q290" i="1"/>
  <c r="J290" i="1"/>
  <c r="L290" i="1" s="1"/>
  <c r="R297" i="1"/>
  <c r="U297" i="1" s="1"/>
  <c r="Q297" i="1"/>
  <c r="R301" i="1"/>
  <c r="U301" i="1" s="1"/>
  <c r="Q301" i="1"/>
  <c r="AB301" i="1" s="1"/>
  <c r="R346" i="1"/>
  <c r="Q346" i="1"/>
  <c r="R362" i="1"/>
  <c r="Q362" i="1"/>
  <c r="Z333" i="1"/>
  <c r="J333" i="1" s="1"/>
  <c r="L333" i="1" s="1"/>
  <c r="Y333" i="1"/>
  <c r="R333" i="1"/>
  <c r="S118" i="1"/>
  <c r="Q123" i="1"/>
  <c r="R169" i="1"/>
  <c r="U169" i="1" s="1"/>
  <c r="Q169" i="1"/>
  <c r="U179" i="1"/>
  <c r="Z400" i="1"/>
  <c r="J400" i="1" s="1"/>
  <c r="L400" i="1" s="1"/>
  <c r="Y400" i="1"/>
  <c r="Y401" i="1"/>
  <c r="R403" i="1"/>
  <c r="U403" i="1" s="1"/>
  <c r="Q403" i="1"/>
  <c r="AB403" i="1" s="1"/>
  <c r="R287" i="1"/>
  <c r="U287" i="1" s="1"/>
  <c r="Q287" i="1"/>
  <c r="AB287" i="1" s="1"/>
  <c r="J120" i="1"/>
  <c r="L120" i="1" s="1"/>
  <c r="J136" i="1"/>
  <c r="L136" i="1" s="1"/>
  <c r="J142" i="1"/>
  <c r="L142" i="1" s="1"/>
  <c r="U145" i="1"/>
  <c r="R156" i="1"/>
  <c r="U156" i="1" s="1"/>
  <c r="J168" i="1"/>
  <c r="L168" i="1" s="1"/>
  <c r="R197" i="1"/>
  <c r="U197" i="1" s="1"/>
  <c r="Q197" i="1"/>
  <c r="Q212" i="1"/>
  <c r="S212" i="1"/>
  <c r="U212" i="1" s="1"/>
  <c r="R224" i="1"/>
  <c r="U224" i="1" s="1"/>
  <c r="Q224" i="1"/>
  <c r="AB224" i="1" s="1"/>
  <c r="Q231" i="1"/>
  <c r="S231" i="1"/>
  <c r="J241" i="1"/>
  <c r="L241" i="1" s="1"/>
  <c r="U259" i="1"/>
  <c r="J295" i="1"/>
  <c r="L295" i="1" s="1"/>
  <c r="J300" i="1"/>
  <c r="L300" i="1" s="1"/>
  <c r="J213" i="1"/>
  <c r="L213" i="1" s="1"/>
  <c r="U217" i="1"/>
  <c r="S228" i="1"/>
  <c r="U228" i="1" s="1"/>
  <c r="U234" i="1"/>
  <c r="U252" i="1"/>
  <c r="U261" i="1"/>
  <c r="U270" i="1"/>
  <c r="J283" i="1"/>
  <c r="L283" i="1" s="1"/>
  <c r="J301" i="1"/>
  <c r="L301" i="1" s="1"/>
  <c r="U313" i="1"/>
  <c r="U323" i="1"/>
  <c r="U354" i="1"/>
  <c r="U364" i="1"/>
  <c r="U365" i="1"/>
  <c r="U369" i="1"/>
  <c r="J379" i="1"/>
  <c r="L379" i="1" s="1"/>
  <c r="U381" i="1"/>
  <c r="Q386" i="1"/>
  <c r="R386" i="1"/>
  <c r="J388" i="1"/>
  <c r="L388" i="1" s="1"/>
  <c r="R510" i="1"/>
  <c r="U510" i="1" s="1"/>
  <c r="J510" i="1"/>
  <c r="L510" i="1" s="1"/>
  <c r="J147" i="1"/>
  <c r="L147" i="1" s="1"/>
  <c r="J157" i="1"/>
  <c r="L157" i="1" s="1"/>
  <c r="J167" i="1"/>
  <c r="L167" i="1" s="1"/>
  <c r="R171" i="1"/>
  <c r="U171" i="1" s="1"/>
  <c r="Q181" i="1"/>
  <c r="Q183" i="1"/>
  <c r="S186" i="1"/>
  <c r="U186" i="1" s="1"/>
  <c r="Q187" i="1"/>
  <c r="AB187" i="1" s="1"/>
  <c r="J192" i="1"/>
  <c r="L192" i="1" s="1"/>
  <c r="J194" i="1"/>
  <c r="L194" i="1" s="1"/>
  <c r="J209" i="1"/>
  <c r="L209" i="1" s="1"/>
  <c r="J224" i="1"/>
  <c r="L224" i="1" s="1"/>
  <c r="J239" i="1"/>
  <c r="L239" i="1" s="1"/>
  <c r="Q248" i="1"/>
  <c r="AB248" i="1" s="1"/>
  <c r="Q275" i="1"/>
  <c r="AB275" i="1" s="1"/>
  <c r="R276" i="1"/>
  <c r="U276" i="1" s="1"/>
  <c r="J287" i="1"/>
  <c r="L287" i="1" s="1"/>
  <c r="U293" i="1"/>
  <c r="S315" i="1"/>
  <c r="U315" i="1" s="1"/>
  <c r="Q320" i="1"/>
  <c r="U321" i="1"/>
  <c r="J324" i="1"/>
  <c r="L324" i="1" s="1"/>
  <c r="U348" i="1"/>
  <c r="U353" i="1"/>
  <c r="J356" i="1"/>
  <c r="L356" i="1" s="1"/>
  <c r="J361" i="1"/>
  <c r="L361" i="1" s="1"/>
  <c r="U366" i="1"/>
  <c r="J370" i="1"/>
  <c r="L370" i="1" s="1"/>
  <c r="U372" i="1"/>
  <c r="J378" i="1"/>
  <c r="L378" i="1" s="1"/>
  <c r="J384" i="1"/>
  <c r="L384" i="1" s="1"/>
  <c r="R399" i="1"/>
  <c r="U399" i="1" s="1"/>
  <c r="Q399" i="1"/>
  <c r="J399" i="1"/>
  <c r="L399" i="1" s="1"/>
  <c r="R404" i="1"/>
  <c r="U404" i="1" s="1"/>
  <c r="Q404" i="1"/>
  <c r="AB404" i="1" s="1"/>
  <c r="Q427" i="1"/>
  <c r="R427" i="1"/>
  <c r="U427" i="1" s="1"/>
  <c r="R478" i="1"/>
  <c r="U478" i="1" s="1"/>
  <c r="Q478" i="1"/>
  <c r="J478" i="1"/>
  <c r="L478" i="1" s="1"/>
  <c r="R549" i="1"/>
  <c r="U549" i="1" s="1"/>
  <c r="Q549" i="1"/>
  <c r="J549" i="1"/>
  <c r="L549" i="1" s="1"/>
  <c r="R564" i="1"/>
  <c r="U564" i="1" s="1"/>
  <c r="Q564" i="1"/>
  <c r="J564" i="1"/>
  <c r="L564" i="1" s="1"/>
  <c r="R606" i="1"/>
  <c r="J606" i="1"/>
  <c r="L606" i="1" s="1"/>
  <c r="U183" i="1"/>
  <c r="Q210" i="1"/>
  <c r="U236" i="1"/>
  <c r="Q300" i="1"/>
  <c r="Q325" i="1"/>
  <c r="U328" i="1"/>
  <c r="J342" i="1"/>
  <c r="L342" i="1" s="1"/>
  <c r="Q370" i="1"/>
  <c r="J386" i="1"/>
  <c r="L386" i="1" s="1"/>
  <c r="Z396" i="1"/>
  <c r="Y396" i="1"/>
  <c r="Q419" i="1"/>
  <c r="AB419" i="1" s="1"/>
  <c r="S419" i="1"/>
  <c r="U419" i="1" s="1"/>
  <c r="Q422" i="1"/>
  <c r="S422" i="1"/>
  <c r="U422" i="1" s="1"/>
  <c r="R477" i="1"/>
  <c r="U477" i="1" s="1"/>
  <c r="Q477" i="1"/>
  <c r="J477" i="1"/>
  <c r="L477" i="1" s="1"/>
  <c r="U149" i="1"/>
  <c r="Q151" i="1"/>
  <c r="J154" i="1"/>
  <c r="L154" i="1" s="1"/>
  <c r="J184" i="1"/>
  <c r="L184" i="1" s="1"/>
  <c r="Q190" i="1"/>
  <c r="Q191" i="1"/>
  <c r="J198" i="1"/>
  <c r="L198" i="1" s="1"/>
  <c r="J201" i="1"/>
  <c r="L201" i="1" s="1"/>
  <c r="J204" i="1"/>
  <c r="L204" i="1" s="1"/>
  <c r="J217" i="1"/>
  <c r="L217" i="1" s="1"/>
  <c r="J232" i="1"/>
  <c r="L232" i="1" s="1"/>
  <c r="J248" i="1"/>
  <c r="L248" i="1" s="1"/>
  <c r="J261" i="1"/>
  <c r="L261" i="1" s="1"/>
  <c r="Q265" i="1"/>
  <c r="J274" i="1"/>
  <c r="L274" i="1" s="1"/>
  <c r="S302" i="1"/>
  <c r="Q309" i="1"/>
  <c r="S325" i="1"/>
  <c r="J350" i="1"/>
  <c r="L350" i="1" s="1"/>
  <c r="Q384" i="1"/>
  <c r="AB384" i="1" s="1"/>
  <c r="R384" i="1"/>
  <c r="U384" i="1" s="1"/>
  <c r="S394" i="1"/>
  <c r="U394" i="1" s="1"/>
  <c r="R401" i="1"/>
  <c r="Q401" i="1"/>
  <c r="AB401" i="1" s="1"/>
  <c r="R415" i="1"/>
  <c r="U415" i="1" s="1"/>
  <c r="Q415" i="1"/>
  <c r="J415" i="1"/>
  <c r="L415" i="1" s="1"/>
  <c r="R445" i="1"/>
  <c r="U445" i="1" s="1"/>
  <c r="Q445" i="1"/>
  <c r="R508" i="1"/>
  <c r="U508" i="1" s="1"/>
  <c r="Q508" i="1"/>
  <c r="AB508" i="1" s="1"/>
  <c r="Y537" i="1"/>
  <c r="R537" i="1"/>
  <c r="U537" i="1" s="1"/>
  <c r="R604" i="1"/>
  <c r="Q604" i="1"/>
  <c r="J604" i="1"/>
  <c r="L604" i="1" s="1"/>
  <c r="Q150" i="1"/>
  <c r="J153" i="1"/>
  <c r="L153" i="1" s="1"/>
  <c r="Q157" i="1"/>
  <c r="AB157" i="1" s="1"/>
  <c r="Y159" i="1"/>
  <c r="Q189" i="1"/>
  <c r="AB189" i="1" s="1"/>
  <c r="J200" i="1"/>
  <c r="L200" i="1" s="1"/>
  <c r="Q208" i="1"/>
  <c r="AB208" i="1" s="1"/>
  <c r="S210" i="1"/>
  <c r="U210" i="1" s="1"/>
  <c r="J216" i="1"/>
  <c r="L216" i="1" s="1"/>
  <c r="Q229" i="1"/>
  <c r="Q236" i="1"/>
  <c r="Q237" i="1"/>
  <c r="AB237" i="1" s="1"/>
  <c r="J247" i="1"/>
  <c r="L247" i="1" s="1"/>
  <c r="U249" i="1"/>
  <c r="Q251" i="1"/>
  <c r="U262" i="1"/>
  <c r="U263" i="1"/>
  <c r="Q272" i="1"/>
  <c r="Q280" i="1"/>
  <c r="Q298" i="1"/>
  <c r="AB298" i="1" s="1"/>
  <c r="S300" i="1"/>
  <c r="U300" i="1" s="1"/>
  <c r="J305" i="1"/>
  <c r="L305" i="1" s="1"/>
  <c r="Q307" i="1"/>
  <c r="U316" i="1"/>
  <c r="J326" i="1"/>
  <c r="L326" i="1" s="1"/>
  <c r="J334" i="1"/>
  <c r="L334" i="1" s="1"/>
  <c r="R335" i="1"/>
  <c r="U335" i="1" s="1"/>
  <c r="J339" i="1"/>
  <c r="L339" i="1" s="1"/>
  <c r="S370" i="1"/>
  <c r="Q375" i="1"/>
  <c r="R382" i="1"/>
  <c r="J382" i="1"/>
  <c r="L382" i="1" s="1"/>
  <c r="J404" i="1"/>
  <c r="L404" i="1" s="1"/>
  <c r="J416" i="1"/>
  <c r="L416" i="1" s="1"/>
  <c r="U421" i="1"/>
  <c r="R561" i="1"/>
  <c r="U561" i="1" s="1"/>
  <c r="Q561" i="1"/>
  <c r="J561" i="1"/>
  <c r="L561" i="1" s="1"/>
  <c r="J152" i="1"/>
  <c r="L152" i="1" s="1"/>
  <c r="J162" i="1"/>
  <c r="L162" i="1" s="1"/>
  <c r="J165" i="1"/>
  <c r="L165" i="1" s="1"/>
  <c r="U166" i="1"/>
  <c r="Q170" i="1"/>
  <c r="U176" i="1"/>
  <c r="U187" i="1"/>
  <c r="U188" i="1"/>
  <c r="R220" i="1"/>
  <c r="U220" i="1" s="1"/>
  <c r="R221" i="1"/>
  <c r="U221" i="1" s="1"/>
  <c r="J225" i="1"/>
  <c r="L225" i="1" s="1"/>
  <c r="J230" i="1"/>
  <c r="L230" i="1" s="1"/>
  <c r="J245" i="1"/>
  <c r="L245" i="1" s="1"/>
  <c r="U248" i="1"/>
  <c r="J255" i="1"/>
  <c r="L255" i="1" s="1"/>
  <c r="S273" i="1"/>
  <c r="J285" i="1"/>
  <c r="L285" i="1" s="1"/>
  <c r="J291" i="1"/>
  <c r="L291" i="1" s="1"/>
  <c r="J312" i="1"/>
  <c r="L312" i="1" s="1"/>
  <c r="J329" i="1"/>
  <c r="L329" i="1" s="1"/>
  <c r="J338" i="1"/>
  <c r="L338" i="1" s="1"/>
  <c r="J340" i="1"/>
  <c r="L340" i="1" s="1"/>
  <c r="J347" i="1"/>
  <c r="L347" i="1" s="1"/>
  <c r="Q353" i="1"/>
  <c r="AB353" i="1" s="1"/>
  <c r="J362" i="1"/>
  <c r="L362" i="1" s="1"/>
  <c r="Q365" i="1"/>
  <c r="U376" i="1"/>
  <c r="R377" i="1"/>
  <c r="U377" i="1" s="1"/>
  <c r="R400" i="1"/>
  <c r="U417" i="1"/>
  <c r="Z450" i="1"/>
  <c r="J450" i="1" s="1"/>
  <c r="L450" i="1" s="1"/>
  <c r="Y450" i="1"/>
  <c r="R450" i="1"/>
  <c r="U529" i="1"/>
  <c r="J380" i="1"/>
  <c r="L380" i="1" s="1"/>
  <c r="J387" i="1"/>
  <c r="L387" i="1" s="1"/>
  <c r="J389" i="1"/>
  <c r="L389" i="1" s="1"/>
  <c r="U423" i="1"/>
  <c r="R429" i="1"/>
  <c r="U429" i="1" s="1"/>
  <c r="S432" i="1"/>
  <c r="U432" i="1" s="1"/>
  <c r="R433" i="1"/>
  <c r="J445" i="1"/>
  <c r="L445" i="1" s="1"/>
  <c r="U449" i="1"/>
  <c r="Q451" i="1"/>
  <c r="U452" i="1"/>
  <c r="U454" i="1"/>
  <c r="Q455" i="1"/>
  <c r="AB455" i="1" s="1"/>
  <c r="U458" i="1"/>
  <c r="Q462" i="1"/>
  <c r="J465" i="1"/>
  <c r="L465" i="1" s="1"/>
  <c r="J476" i="1"/>
  <c r="L476" i="1" s="1"/>
  <c r="Q481" i="1"/>
  <c r="U491" i="1"/>
  <c r="U502" i="1"/>
  <c r="U504" i="1"/>
  <c r="J508" i="1"/>
  <c r="L508" i="1" s="1"/>
  <c r="U518" i="1"/>
  <c r="J524" i="1"/>
  <c r="L524" i="1" s="1"/>
  <c r="Q534" i="1"/>
  <c r="J542" i="1"/>
  <c r="L542" i="1" s="1"/>
  <c r="J560" i="1"/>
  <c r="L560" i="1" s="1"/>
  <c r="Q566" i="1"/>
  <c r="Q574" i="1"/>
  <c r="Q575" i="1"/>
  <c r="U577" i="1"/>
  <c r="Q579" i="1"/>
  <c r="J585" i="1"/>
  <c r="L585" i="1" s="1"/>
  <c r="J592" i="1"/>
  <c r="L592" i="1" s="1"/>
  <c r="U595" i="1"/>
  <c r="Q617" i="1"/>
  <c r="J628" i="1"/>
  <c r="L628" i="1" s="1"/>
  <c r="Q639" i="1"/>
  <c r="U447" i="1"/>
  <c r="U461" i="1"/>
  <c r="U469" i="1"/>
  <c r="U482" i="1"/>
  <c r="U488" i="1"/>
  <c r="Q509" i="1"/>
  <c r="Q543" i="1"/>
  <c r="AB543" i="1" s="1"/>
  <c r="U558" i="1"/>
  <c r="U582" i="1"/>
  <c r="U587" i="1"/>
  <c r="U594" i="1"/>
  <c r="U600" i="1"/>
  <c r="Q632" i="1"/>
  <c r="U389" i="1"/>
  <c r="U391" i="1"/>
  <c r="U405" i="1"/>
  <c r="U424" i="1"/>
  <c r="U436" i="1"/>
  <c r="J439" i="1"/>
  <c r="L439" i="1" s="1"/>
  <c r="J448" i="1"/>
  <c r="L448" i="1" s="1"/>
  <c r="Q461" i="1"/>
  <c r="AB461" i="1" s="1"/>
  <c r="U465" i="1"/>
  <c r="R468" i="1"/>
  <c r="U468" i="1" s="1"/>
  <c r="S471" i="1"/>
  <c r="U476" i="1"/>
  <c r="Q488" i="1"/>
  <c r="R509" i="1"/>
  <c r="U509" i="1" s="1"/>
  <c r="U524" i="1"/>
  <c r="J534" i="1"/>
  <c r="L534" i="1" s="1"/>
  <c r="J559" i="1"/>
  <c r="L559" i="1" s="1"/>
  <c r="J574" i="1"/>
  <c r="L574" i="1" s="1"/>
  <c r="J578" i="1"/>
  <c r="L578" i="1" s="1"/>
  <c r="Q585" i="1"/>
  <c r="Q594" i="1"/>
  <c r="J597" i="1"/>
  <c r="L597" i="1" s="1"/>
  <c r="Q600" i="1"/>
  <c r="J603" i="1"/>
  <c r="L603" i="1" s="1"/>
  <c r="J611" i="1"/>
  <c r="L611" i="1" s="1"/>
  <c r="Q631" i="1"/>
  <c r="U397" i="1"/>
  <c r="U402" i="1"/>
  <c r="J430" i="1"/>
  <c r="L430" i="1" s="1"/>
  <c r="J470" i="1"/>
  <c r="L470" i="1" s="1"/>
  <c r="J489" i="1"/>
  <c r="L489" i="1" s="1"/>
  <c r="U516" i="1"/>
  <c r="J521" i="1"/>
  <c r="L521" i="1" s="1"/>
  <c r="J526" i="1"/>
  <c r="L526" i="1" s="1"/>
  <c r="J536" i="1"/>
  <c r="L536" i="1" s="1"/>
  <c r="U542" i="1"/>
  <c r="U545" i="1"/>
  <c r="J567" i="1"/>
  <c r="L567" i="1" s="1"/>
  <c r="J573" i="1"/>
  <c r="L573" i="1" s="1"/>
  <c r="J575" i="1"/>
  <c r="L575" i="1" s="1"/>
  <c r="U589" i="1"/>
  <c r="J626" i="1"/>
  <c r="L626" i="1" s="1"/>
  <c r="J639" i="1"/>
  <c r="L639" i="1" s="1"/>
  <c r="J385" i="1"/>
  <c r="L385" i="1" s="1"/>
  <c r="J390" i="1"/>
  <c r="L390" i="1" s="1"/>
  <c r="J392" i="1"/>
  <c r="L392" i="1" s="1"/>
  <c r="J409" i="1"/>
  <c r="L409" i="1" s="1"/>
  <c r="J414" i="1"/>
  <c r="L414" i="1" s="1"/>
  <c r="J421" i="1"/>
  <c r="L421" i="1" s="1"/>
  <c r="J438" i="1"/>
  <c r="L438" i="1" s="1"/>
  <c r="Y447" i="1"/>
  <c r="Q449" i="1"/>
  <c r="J452" i="1"/>
  <c r="L452" i="1" s="1"/>
  <c r="Q458" i="1"/>
  <c r="Q459" i="1"/>
  <c r="AB459" i="1" s="1"/>
  <c r="J481" i="1"/>
  <c r="L481" i="1" s="1"/>
  <c r="Q496" i="1"/>
  <c r="AB496" i="1" s="1"/>
  <c r="J498" i="1"/>
  <c r="L498" i="1" s="1"/>
  <c r="J500" i="1"/>
  <c r="L500" i="1" s="1"/>
  <c r="Q505" i="1"/>
  <c r="J511" i="1"/>
  <c r="L511" i="1" s="1"/>
  <c r="Q516" i="1"/>
  <c r="AB516" i="1" s="1"/>
  <c r="J519" i="1"/>
  <c r="L519" i="1" s="1"/>
  <c r="Q524" i="1"/>
  <c r="AB524" i="1" s="1"/>
  <c r="R530" i="1"/>
  <c r="J533" i="1"/>
  <c r="L533" i="1" s="1"/>
  <c r="Q540" i="1"/>
  <c r="Q546" i="1"/>
  <c r="J552" i="1"/>
  <c r="L552" i="1" s="1"/>
  <c r="Q558" i="1"/>
  <c r="U570" i="1"/>
  <c r="J577" i="1"/>
  <c r="L577" i="1" s="1"/>
  <c r="J580" i="1"/>
  <c r="L580" i="1" s="1"/>
  <c r="Q598" i="1"/>
  <c r="J612" i="1"/>
  <c r="L612" i="1" s="1"/>
  <c r="J629" i="1"/>
  <c r="L629" i="1" s="1"/>
  <c r="R435" i="1"/>
  <c r="U435" i="1" s="1"/>
  <c r="U455" i="1"/>
  <c r="U464" i="1"/>
  <c r="R471" i="1"/>
  <c r="Q472" i="1"/>
  <c r="U481" i="1"/>
  <c r="Q484" i="1"/>
  <c r="R486" i="1"/>
  <c r="U486" i="1" s="1"/>
  <c r="J490" i="1"/>
  <c r="L490" i="1" s="1"/>
  <c r="Q493" i="1"/>
  <c r="AB493" i="1" s="1"/>
  <c r="J499" i="1"/>
  <c r="L499" i="1" s="1"/>
  <c r="J501" i="1"/>
  <c r="L501" i="1" s="1"/>
  <c r="J517" i="1"/>
  <c r="L517" i="1" s="1"/>
  <c r="J520" i="1"/>
  <c r="L520" i="1" s="1"/>
  <c r="U528" i="1"/>
  <c r="U539" i="1"/>
  <c r="J543" i="1"/>
  <c r="L543" i="1" s="1"/>
  <c r="U562" i="1"/>
  <c r="J565" i="1"/>
  <c r="L565" i="1" s="1"/>
  <c r="U575" i="1"/>
  <c r="U579" i="1"/>
  <c r="J586" i="1"/>
  <c r="L586" i="1" s="1"/>
  <c r="Q589" i="1"/>
  <c r="R591" i="1"/>
  <c r="U591" i="1" s="1"/>
  <c r="J610" i="1"/>
  <c r="L610" i="1" s="1"/>
  <c r="J618" i="1"/>
  <c r="L618" i="1" s="1"/>
  <c r="J622" i="1"/>
  <c r="L622" i="1" s="1"/>
  <c r="Q625" i="1"/>
  <c r="Q630" i="1"/>
  <c r="Q635" i="1"/>
  <c r="J638" i="1"/>
  <c r="L638" i="1" s="1"/>
  <c r="U393" i="1"/>
  <c r="J398" i="1"/>
  <c r="L398" i="1" s="1"/>
  <c r="U409" i="1"/>
  <c r="J423" i="1"/>
  <c r="L423" i="1" s="1"/>
  <c r="Q424" i="1"/>
  <c r="J461" i="1"/>
  <c r="L461" i="1" s="1"/>
  <c r="J466" i="1"/>
  <c r="L466" i="1" s="1"/>
  <c r="J469" i="1"/>
  <c r="L469" i="1" s="1"/>
  <c r="U499" i="1"/>
  <c r="J509" i="1"/>
  <c r="L509" i="1" s="1"/>
  <c r="U520" i="1"/>
  <c r="U526" i="1"/>
  <c r="J532" i="1"/>
  <c r="L532" i="1" s="1"/>
  <c r="U536" i="1"/>
  <c r="U540" i="1"/>
  <c r="U544" i="1"/>
  <c r="U559" i="1"/>
  <c r="U590" i="1"/>
  <c r="Q611" i="1"/>
  <c r="J617" i="1"/>
  <c r="L617" i="1" s="1"/>
  <c r="Q633" i="1"/>
  <c r="J637" i="1"/>
  <c r="L637" i="1" s="1"/>
  <c r="J50" i="1"/>
  <c r="L50" i="1" s="1"/>
  <c r="U122" i="1"/>
  <c r="Q80" i="1"/>
  <c r="U128" i="1"/>
  <c r="R143" i="1"/>
  <c r="U143" i="1" s="1"/>
  <c r="J143" i="1"/>
  <c r="L143" i="1" s="1"/>
  <c r="AB156" i="1"/>
  <c r="Q124" i="1"/>
  <c r="AB151" i="1"/>
  <c r="S159" i="1"/>
  <c r="U159" i="1" s="1"/>
  <c r="Q159" i="1"/>
  <c r="AB159" i="1" s="1"/>
  <c r="R214" i="1"/>
  <c r="U214" i="1" s="1"/>
  <c r="Q214" i="1"/>
  <c r="AB214" i="1" s="1"/>
  <c r="Q64" i="1"/>
  <c r="U96" i="1"/>
  <c r="R120" i="1"/>
  <c r="U120" i="1" s="1"/>
  <c r="Q121" i="1"/>
  <c r="J122" i="1"/>
  <c r="L122" i="1" s="1"/>
  <c r="J125" i="1"/>
  <c r="L125" i="1" s="1"/>
  <c r="Q128" i="1"/>
  <c r="Q143" i="1"/>
  <c r="AB143" i="1"/>
  <c r="AB147" i="1"/>
  <c r="S154" i="1"/>
  <c r="U154" i="1" s="1"/>
  <c r="Q154" i="1"/>
  <c r="AB154" i="1" s="1"/>
  <c r="S124" i="1"/>
  <c r="S137" i="1"/>
  <c r="AB137" i="1"/>
  <c r="Q160" i="1"/>
  <c r="AB160" i="1" s="1"/>
  <c r="R160" i="1"/>
  <c r="U160" i="1" s="1"/>
  <c r="U127" i="1"/>
  <c r="R164" i="1"/>
  <c r="U164" i="1" s="1"/>
  <c r="Q164" i="1"/>
  <c r="AB164" i="1" s="1"/>
  <c r="R117" i="1"/>
  <c r="U117" i="1" s="1"/>
  <c r="Q117" i="1"/>
  <c r="Q122" i="1"/>
  <c r="R125" i="1"/>
  <c r="J128" i="1"/>
  <c r="L128" i="1" s="1"/>
  <c r="R138" i="1"/>
  <c r="U138" i="1" s="1"/>
  <c r="Q138" i="1"/>
  <c r="AB138" i="1" s="1"/>
  <c r="U140" i="1"/>
  <c r="U150" i="1"/>
  <c r="R161" i="1"/>
  <c r="U161" i="1" s="1"/>
  <c r="Q161" i="1"/>
  <c r="AB161" i="1" s="1"/>
  <c r="AB162" i="1"/>
  <c r="Q178" i="1"/>
  <c r="S178" i="1"/>
  <c r="U178" i="1" s="1"/>
  <c r="Q88" i="1"/>
  <c r="U116" i="1"/>
  <c r="AB126" i="1"/>
  <c r="R133" i="1"/>
  <c r="U133" i="1" s="1"/>
  <c r="Q133" i="1"/>
  <c r="AB133" i="1" s="1"/>
  <c r="Q142" i="1"/>
  <c r="AB142" i="1" s="1"/>
  <c r="S144" i="1"/>
  <c r="U144" i="1" s="1"/>
  <c r="Q144" i="1"/>
  <c r="Z146" i="1"/>
  <c r="J146" i="1" s="1"/>
  <c r="L146" i="1" s="1"/>
  <c r="Y146" i="1"/>
  <c r="S155" i="1"/>
  <c r="U155" i="1" s="1"/>
  <c r="Q155" i="1"/>
  <c r="AB155" i="1" s="1"/>
  <c r="R162" i="1"/>
  <c r="U162" i="1" s="1"/>
  <c r="Q162" i="1"/>
  <c r="Q84" i="1"/>
  <c r="J121" i="1"/>
  <c r="L121" i="1" s="1"/>
  <c r="U153" i="1"/>
  <c r="AB158" i="1"/>
  <c r="R175" i="1"/>
  <c r="U175" i="1" s="1"/>
  <c r="Q175" i="1"/>
  <c r="AB204" i="1"/>
  <c r="S139" i="1"/>
  <c r="U139" i="1" s="1"/>
  <c r="S141" i="1"/>
  <c r="R147" i="1"/>
  <c r="S151" i="1"/>
  <c r="J161" i="1"/>
  <c r="L161" i="1" s="1"/>
  <c r="J164" i="1"/>
  <c r="L164" i="1" s="1"/>
  <c r="AB171" i="1"/>
  <c r="U181" i="1"/>
  <c r="AB183" i="1"/>
  <c r="R185" i="1"/>
  <c r="U185" i="1" s="1"/>
  <c r="Q185" i="1"/>
  <c r="AB185" i="1" s="1"/>
  <c r="U191" i="1"/>
  <c r="AB193" i="1"/>
  <c r="R198" i="1"/>
  <c r="U198" i="1" s="1"/>
  <c r="Q198" i="1"/>
  <c r="AB198" i="1" s="1"/>
  <c r="J206" i="1"/>
  <c r="L206" i="1" s="1"/>
  <c r="U216" i="1"/>
  <c r="R222" i="1"/>
  <c r="U222" i="1" s="1"/>
  <c r="Q222" i="1"/>
  <c r="AB222" i="1" s="1"/>
  <c r="R240" i="1"/>
  <c r="U240" i="1" s="1"/>
  <c r="Q240" i="1"/>
  <c r="AB240" i="1" s="1"/>
  <c r="J244" i="1"/>
  <c r="L244" i="1" s="1"/>
  <c r="AB245" i="1"/>
  <c r="AB266" i="1"/>
  <c r="AB175" i="1"/>
  <c r="R177" i="1"/>
  <c r="U177" i="1" s="1"/>
  <c r="Q177" i="1"/>
  <c r="AB177" i="1" s="1"/>
  <c r="AB178" i="1"/>
  <c r="AB188" i="1"/>
  <c r="S219" i="1"/>
  <c r="U219" i="1" s="1"/>
  <c r="Q219" i="1"/>
  <c r="AB219" i="1" s="1"/>
  <c r="S227" i="1"/>
  <c r="U227" i="1" s="1"/>
  <c r="Q227" i="1"/>
  <c r="AB227" i="1" s="1"/>
  <c r="AB247" i="1"/>
  <c r="R165" i="1"/>
  <c r="U165" i="1" s="1"/>
  <c r="Q165" i="1"/>
  <c r="AB165" i="1" s="1"/>
  <c r="R235" i="1"/>
  <c r="U235" i="1" s="1"/>
  <c r="Q235" i="1"/>
  <c r="AB235" i="1" s="1"/>
  <c r="AB254" i="1"/>
  <c r="R288" i="1"/>
  <c r="U288" i="1" s="1"/>
  <c r="Q288" i="1"/>
  <c r="AB288" i="1" s="1"/>
  <c r="J288" i="1"/>
  <c r="L288" i="1" s="1"/>
  <c r="R146" i="1"/>
  <c r="Q166" i="1"/>
  <c r="AB166" i="1" s="1"/>
  <c r="R170" i="1"/>
  <c r="U170" i="1" s="1"/>
  <c r="Q174" i="1"/>
  <c r="AB174" i="1" s="1"/>
  <c r="AB180" i="1"/>
  <c r="R182" i="1"/>
  <c r="U182" i="1" s="1"/>
  <c r="Q182" i="1"/>
  <c r="AB182" i="1" s="1"/>
  <c r="AB190" i="1"/>
  <c r="R192" i="1"/>
  <c r="U192" i="1" s="1"/>
  <c r="Q192" i="1"/>
  <c r="AB192" i="1" s="1"/>
  <c r="J195" i="1"/>
  <c r="L195" i="1" s="1"/>
  <c r="R201" i="1"/>
  <c r="U201" i="1" s="1"/>
  <c r="Q201" i="1"/>
  <c r="AB201" i="1" s="1"/>
  <c r="AB210" i="1"/>
  <c r="J214" i="1"/>
  <c r="L214" i="1" s="1"/>
  <c r="AB220" i="1"/>
  <c r="AB229" i="1"/>
  <c r="Y134" i="1"/>
  <c r="Q140" i="1"/>
  <c r="AB140" i="1" s="1"/>
  <c r="Q145" i="1"/>
  <c r="AB145" i="1" s="1"/>
  <c r="Q149" i="1"/>
  <c r="AB149" i="1" s="1"/>
  <c r="Z156" i="1"/>
  <c r="J156" i="1" s="1"/>
  <c r="L156" i="1" s="1"/>
  <c r="Y156" i="1"/>
  <c r="Q167" i="1"/>
  <c r="AB167" i="1" s="1"/>
  <c r="U174" i="1"/>
  <c r="Z175" i="1"/>
  <c r="J175" i="1" s="1"/>
  <c r="L175" i="1" s="1"/>
  <c r="Y175" i="1"/>
  <c r="Z188" i="1"/>
  <c r="J188" i="1" s="1"/>
  <c r="L188" i="1" s="1"/>
  <c r="Y188" i="1"/>
  <c r="U196" i="1"/>
  <c r="R206" i="1"/>
  <c r="U206" i="1" s="1"/>
  <c r="Q206" i="1"/>
  <c r="AB206" i="1" s="1"/>
  <c r="S232" i="1"/>
  <c r="U232" i="1" s="1"/>
  <c r="Q232" i="1"/>
  <c r="AB232" i="1" s="1"/>
  <c r="AB241" i="1"/>
  <c r="R244" i="1"/>
  <c r="U244" i="1" s="1"/>
  <c r="Q244" i="1"/>
  <c r="AB244" i="1" s="1"/>
  <c r="S254" i="1"/>
  <c r="Q254" i="1"/>
  <c r="AB273" i="1"/>
  <c r="Q136" i="1"/>
  <c r="AB136" i="1" s="1"/>
  <c r="N141" i="1"/>
  <c r="J141" i="1" s="1"/>
  <c r="L141" i="1" s="1"/>
  <c r="AB144" i="1"/>
  <c r="AB163" i="1"/>
  <c r="S203" i="1"/>
  <c r="U203" i="1" s="1"/>
  <c r="Q203" i="1"/>
  <c r="AB203" i="1" s="1"/>
  <c r="S211" i="1"/>
  <c r="Q211" i="1"/>
  <c r="AB211" i="1" s="1"/>
  <c r="S256" i="1"/>
  <c r="U256" i="1" s="1"/>
  <c r="Q256" i="1"/>
  <c r="AB256" i="1" s="1"/>
  <c r="R268" i="1"/>
  <c r="Q268" i="1"/>
  <c r="Z302" i="1"/>
  <c r="J302" i="1" s="1"/>
  <c r="L302" i="1" s="1"/>
  <c r="Y302" i="1"/>
  <c r="AB173" i="1"/>
  <c r="Q176" i="1"/>
  <c r="AB176" i="1" s="1"/>
  <c r="J177" i="1"/>
  <c r="L177" i="1" s="1"/>
  <c r="U184" i="1"/>
  <c r="R195" i="1"/>
  <c r="U195" i="1" s="1"/>
  <c r="Q195" i="1"/>
  <c r="AB195" i="1" s="1"/>
  <c r="AB218" i="1"/>
  <c r="J235" i="1"/>
  <c r="L235" i="1" s="1"/>
  <c r="AB246" i="1"/>
  <c r="U251" i="1"/>
  <c r="U289" i="1"/>
  <c r="AB306" i="1"/>
  <c r="R253" i="1"/>
  <c r="U253" i="1" s="1"/>
  <c r="R266" i="1"/>
  <c r="U266" i="1" s="1"/>
  <c r="Q266" i="1"/>
  <c r="S268" i="1"/>
  <c r="U269" i="1"/>
  <c r="AB269" i="1"/>
  <c r="AB284" i="1"/>
  <c r="R291" i="1"/>
  <c r="U291" i="1" s="1"/>
  <c r="Q291" i="1"/>
  <c r="AB291" i="1" s="1"/>
  <c r="R254" i="1"/>
  <c r="R255" i="1"/>
  <c r="U255" i="1" s="1"/>
  <c r="AB255" i="1"/>
  <c r="AB268" i="1"/>
  <c r="R278" i="1"/>
  <c r="U278" i="1" s="1"/>
  <c r="Q278" i="1"/>
  <c r="AB278" i="1" s="1"/>
  <c r="J278" i="1"/>
  <c r="L278" i="1" s="1"/>
  <c r="R282" i="1"/>
  <c r="U282" i="1" s="1"/>
  <c r="Q282" i="1"/>
  <c r="AB282" i="1" s="1"/>
  <c r="R299" i="1"/>
  <c r="U299" i="1" s="1"/>
  <c r="Q299" i="1"/>
  <c r="AB299" i="1" s="1"/>
  <c r="Q209" i="1"/>
  <c r="AB209" i="1" s="1"/>
  <c r="Q217" i="1"/>
  <c r="AB217" i="1" s="1"/>
  <c r="Q225" i="1"/>
  <c r="AB225" i="1" s="1"/>
  <c r="Q230" i="1"/>
  <c r="AB230" i="1" s="1"/>
  <c r="J242" i="1"/>
  <c r="L242" i="1" s="1"/>
  <c r="AB243" i="1"/>
  <c r="Q249" i="1"/>
  <c r="AB249" i="1" s="1"/>
  <c r="R257" i="1"/>
  <c r="U257" i="1" s="1"/>
  <c r="Q263" i="1"/>
  <c r="AB263" i="1" s="1"/>
  <c r="R292" i="1"/>
  <c r="U292" i="1" s="1"/>
  <c r="Q292" i="1"/>
  <c r="J292" i="1"/>
  <c r="L292" i="1" s="1"/>
  <c r="AB292" i="1"/>
  <c r="R296" i="1"/>
  <c r="U296" i="1" s="1"/>
  <c r="Q296" i="1"/>
  <c r="AB296" i="1" s="1"/>
  <c r="U305" i="1"/>
  <c r="Q228" i="1"/>
  <c r="AB228" i="1" s="1"/>
  <c r="Q233" i="1"/>
  <c r="AB233" i="1" s="1"/>
  <c r="Q238" i="1"/>
  <c r="AB238" i="1" s="1"/>
  <c r="Q250" i="1"/>
  <c r="AB250" i="1" s="1"/>
  <c r="R258" i="1"/>
  <c r="U258" i="1" s="1"/>
  <c r="Q259" i="1"/>
  <c r="AB259" i="1" s="1"/>
  <c r="Q261" i="1"/>
  <c r="AB261" i="1" s="1"/>
  <c r="Q262" i="1"/>
  <c r="AB262" i="1" s="1"/>
  <c r="R265" i="1"/>
  <c r="U265" i="1" s="1"/>
  <c r="Q270" i="1"/>
  <c r="AB270" i="1" s="1"/>
  <c r="U274" i="1"/>
  <c r="R294" i="1"/>
  <c r="Q294" i="1"/>
  <c r="AB294" i="1" s="1"/>
  <c r="S318" i="1"/>
  <c r="U318" i="1" s="1"/>
  <c r="Q318" i="1"/>
  <c r="AB318" i="1"/>
  <c r="R302" i="1"/>
  <c r="U302" i="1" s="1"/>
  <c r="Q302" i="1"/>
  <c r="R306" i="1"/>
  <c r="U306" i="1" s="1"/>
  <c r="Q306" i="1"/>
  <c r="J306" i="1"/>
  <c r="L306" i="1" s="1"/>
  <c r="S308" i="1"/>
  <c r="U308" i="1" s="1"/>
  <c r="Q308" i="1"/>
  <c r="AB308" i="1" s="1"/>
  <c r="Y255" i="1"/>
  <c r="AB264" i="1"/>
  <c r="J268" i="1"/>
  <c r="L268" i="1" s="1"/>
  <c r="Q303" i="1"/>
  <c r="AB303" i="1" s="1"/>
  <c r="Q253" i="1"/>
  <c r="AB253" i="1" s="1"/>
  <c r="Y294" i="1"/>
  <c r="AB300" i="1"/>
  <c r="AB323" i="1"/>
  <c r="S341" i="1"/>
  <c r="Q341" i="1"/>
  <c r="AB341" i="1" s="1"/>
  <c r="S350" i="1"/>
  <c r="U350" i="1" s="1"/>
  <c r="Q350" i="1"/>
  <c r="R351" i="1"/>
  <c r="U351" i="1" s="1"/>
  <c r="Q351" i="1"/>
  <c r="AB351" i="1" s="1"/>
  <c r="S355" i="1"/>
  <c r="U355" i="1" s="1"/>
  <c r="Q355" i="1"/>
  <c r="AB355" i="1" s="1"/>
  <c r="R363" i="1"/>
  <c r="U363" i="1" s="1"/>
  <c r="Q363" i="1"/>
  <c r="AB363" i="1" s="1"/>
  <c r="S367" i="1"/>
  <c r="U367" i="1" s="1"/>
  <c r="Q367" i="1"/>
  <c r="S373" i="1"/>
  <c r="U373" i="1" s="1"/>
  <c r="Q373" i="1"/>
  <c r="AB373" i="1" s="1"/>
  <c r="R396" i="1"/>
  <c r="U396" i="1" s="1"/>
  <c r="Q396" i="1"/>
  <c r="J270" i="1"/>
  <c r="L270" i="1" s="1"/>
  <c r="U277" i="1"/>
  <c r="J280" i="1"/>
  <c r="L280" i="1" s="1"/>
  <c r="S294" i="1"/>
  <c r="U295" i="1"/>
  <c r="J296" i="1"/>
  <c r="L296" i="1" s="1"/>
  <c r="Q310" i="1"/>
  <c r="AB310" i="1" s="1"/>
  <c r="U314" i="1"/>
  <c r="R319" i="1"/>
  <c r="U319" i="1" s="1"/>
  <c r="Q319" i="1"/>
  <c r="AB319" i="1" s="1"/>
  <c r="U329" i="1"/>
  <c r="J336" i="1"/>
  <c r="L336" i="1" s="1"/>
  <c r="U344" i="1"/>
  <c r="U346" i="1"/>
  <c r="AB346" i="1"/>
  <c r="U370" i="1"/>
  <c r="AB370" i="1"/>
  <c r="U374" i="1"/>
  <c r="AB374" i="1"/>
  <c r="S390" i="1"/>
  <c r="U390" i="1" s="1"/>
  <c r="Q390" i="1"/>
  <c r="R271" i="1"/>
  <c r="U271" i="1" s="1"/>
  <c r="Q271" i="1"/>
  <c r="AB271" i="1" s="1"/>
  <c r="U275" i="1"/>
  <c r="S280" i="1"/>
  <c r="U280" i="1" s="1"/>
  <c r="AB286" i="1"/>
  <c r="AB295" i="1"/>
  <c r="AB302" i="1"/>
  <c r="J303" i="1"/>
  <c r="L303" i="1" s="1"/>
  <c r="R304" i="1"/>
  <c r="U304" i="1" s="1"/>
  <c r="Q304" i="1"/>
  <c r="AB304" i="1" s="1"/>
  <c r="U310" i="1"/>
  <c r="J313" i="1"/>
  <c r="L313" i="1" s="1"/>
  <c r="Q321" i="1"/>
  <c r="AB321" i="1" s="1"/>
  <c r="U324" i="1"/>
  <c r="R342" i="1"/>
  <c r="U342" i="1" s="1"/>
  <c r="Q342" i="1"/>
  <c r="AB342" i="1" s="1"/>
  <c r="J372" i="1"/>
  <c r="L372" i="1" s="1"/>
  <c r="R387" i="1"/>
  <c r="U387" i="1" s="1"/>
  <c r="Q387" i="1"/>
  <c r="AB387" i="1" s="1"/>
  <c r="U272" i="1"/>
  <c r="AB276" i="1"/>
  <c r="U298" i="1"/>
  <c r="U307" i="1"/>
  <c r="U312" i="1"/>
  <c r="U327" i="1"/>
  <c r="S331" i="1"/>
  <c r="U331" i="1" s="1"/>
  <c r="Q331" i="1"/>
  <c r="AB331" i="1"/>
  <c r="AB333" i="1"/>
  <c r="AB340" i="1"/>
  <c r="U347" i="1"/>
  <c r="Q354" i="1"/>
  <c r="AB354" i="1" s="1"/>
  <c r="J354" i="1"/>
  <c r="L354" i="1" s="1"/>
  <c r="AB366" i="1"/>
  <c r="S368" i="1"/>
  <c r="U368" i="1" s="1"/>
  <c r="Q368" i="1"/>
  <c r="AB368" i="1" s="1"/>
  <c r="AB382" i="1"/>
  <c r="R311" i="1"/>
  <c r="U311" i="1" s="1"/>
  <c r="Q311" i="1"/>
  <c r="AB311" i="1" s="1"/>
  <c r="U322" i="1"/>
  <c r="U336" i="1"/>
  <c r="U338" i="1"/>
  <c r="U361" i="1"/>
  <c r="S371" i="1"/>
  <c r="U371" i="1" s="1"/>
  <c r="Q371" i="1"/>
  <c r="AB371" i="1" s="1"/>
  <c r="J396" i="1"/>
  <c r="L396" i="1" s="1"/>
  <c r="J321" i="1"/>
  <c r="L321" i="1" s="1"/>
  <c r="R332" i="1"/>
  <c r="U332" i="1" s="1"/>
  <c r="Q332" i="1"/>
  <c r="AB332" i="1" s="1"/>
  <c r="R334" i="1"/>
  <c r="U334" i="1" s="1"/>
  <c r="Q334" i="1"/>
  <c r="AB334" i="1" s="1"/>
  <c r="U345" i="1"/>
  <c r="S349" i="1"/>
  <c r="U349" i="1" s="1"/>
  <c r="Q349" i="1"/>
  <c r="AB349" i="1"/>
  <c r="AB361" i="1"/>
  <c r="AB369" i="1"/>
  <c r="R273" i="1"/>
  <c r="AB281" i="1"/>
  <c r="J282" i="1"/>
  <c r="L282" i="1" s="1"/>
  <c r="R283" i="1"/>
  <c r="U283" i="1" s="1"/>
  <c r="Q283" i="1"/>
  <c r="AB283" i="1" s="1"/>
  <c r="U284" i="1"/>
  <c r="AB293" i="1"/>
  <c r="Z304" i="1"/>
  <c r="J304" i="1" s="1"/>
  <c r="L304" i="1" s="1"/>
  <c r="Y304" i="1"/>
  <c r="AB325" i="1"/>
  <c r="AB330" i="1"/>
  <c r="Q336" i="1"/>
  <c r="AB336" i="1" s="1"/>
  <c r="U339" i="1"/>
  <c r="J344" i="1"/>
  <c r="L344" i="1" s="1"/>
  <c r="AB350" i="1"/>
  <c r="U362" i="1"/>
  <c r="AB362" i="1"/>
  <c r="Q372" i="1"/>
  <c r="AB372" i="1" s="1"/>
  <c r="U375" i="1"/>
  <c r="AB380" i="1"/>
  <c r="J381" i="1"/>
  <c r="L381" i="1" s="1"/>
  <c r="AB396" i="1"/>
  <c r="AB418" i="1"/>
  <c r="S382" i="1"/>
  <c r="Q382" i="1"/>
  <c r="AB415" i="1"/>
  <c r="Q316" i="1"/>
  <c r="AB316" i="1" s="1"/>
  <c r="Q324" i="1"/>
  <c r="AB324" i="1" s="1"/>
  <c r="Q326" i="1"/>
  <c r="Q329" i="1"/>
  <c r="AB329" i="1" s="1"/>
  <c r="Q339" i="1"/>
  <c r="AB339" i="1" s="1"/>
  <c r="Q347" i="1"/>
  <c r="AB347" i="1" s="1"/>
  <c r="Q358" i="1"/>
  <c r="AB358" i="1" s="1"/>
  <c r="AB375" i="1"/>
  <c r="Q359" i="1"/>
  <c r="J365" i="1"/>
  <c r="L365" i="1" s="1"/>
  <c r="J366" i="1"/>
  <c r="L366" i="1" s="1"/>
  <c r="AB367" i="1"/>
  <c r="Q369" i="1"/>
  <c r="Q389" i="1"/>
  <c r="AB389" i="1" s="1"/>
  <c r="AB406" i="1"/>
  <c r="S414" i="1"/>
  <c r="U414" i="1" s="1"/>
  <c r="Q414" i="1"/>
  <c r="AB414" i="1"/>
  <c r="S416" i="1"/>
  <c r="U416" i="1" s="1"/>
  <c r="Q416" i="1"/>
  <c r="AB416" i="1" s="1"/>
  <c r="R420" i="1"/>
  <c r="U420" i="1" s="1"/>
  <c r="Q420" i="1"/>
  <c r="AB420" i="1" s="1"/>
  <c r="Q314" i="1"/>
  <c r="AB314" i="1" s="1"/>
  <c r="Q322" i="1"/>
  <c r="AB322" i="1" s="1"/>
  <c r="Y325" i="1"/>
  <c r="Q327" i="1"/>
  <c r="AB327" i="1" s="1"/>
  <c r="Q337" i="1"/>
  <c r="AB337" i="1" s="1"/>
  <c r="Q345" i="1"/>
  <c r="AB345" i="1" s="1"/>
  <c r="Q356" i="1"/>
  <c r="AB356" i="1" s="1"/>
  <c r="Q364" i="1"/>
  <c r="AB364" i="1" s="1"/>
  <c r="Q381" i="1"/>
  <c r="AB381" i="1" s="1"/>
  <c r="U406" i="1"/>
  <c r="R407" i="1"/>
  <c r="U407" i="1" s="1"/>
  <c r="Q407" i="1"/>
  <c r="AB407" i="1" s="1"/>
  <c r="AB411" i="1"/>
  <c r="S433" i="1"/>
  <c r="U433" i="1" s="1"/>
  <c r="Q433" i="1"/>
  <c r="AB433" i="1" s="1"/>
  <c r="Z446" i="1"/>
  <c r="J446" i="1" s="1"/>
  <c r="L446" i="1" s="1"/>
  <c r="Y446" i="1"/>
  <c r="Q317" i="1"/>
  <c r="AB317" i="1" s="1"/>
  <c r="AB386" i="1"/>
  <c r="AB390" i="1"/>
  <c r="U392" i="1"/>
  <c r="S395" i="1"/>
  <c r="U395" i="1" s="1"/>
  <c r="Q395" i="1"/>
  <c r="AB395" i="1" s="1"/>
  <c r="AB398" i="1"/>
  <c r="AB359" i="1"/>
  <c r="Q361" i="1"/>
  <c r="J373" i="1"/>
  <c r="L373" i="1" s="1"/>
  <c r="Q376" i="1"/>
  <c r="AB376" i="1" s="1"/>
  <c r="R378" i="1"/>
  <c r="U378" i="1" s="1"/>
  <c r="AB383" i="1"/>
  <c r="R385" i="1"/>
  <c r="U385" i="1" s="1"/>
  <c r="Q385" i="1"/>
  <c r="AB385" i="1" s="1"/>
  <c r="U386" i="1"/>
  <c r="U398" i="1"/>
  <c r="S400" i="1"/>
  <c r="Q400" i="1"/>
  <c r="AB400" i="1"/>
  <c r="AB402" i="1"/>
  <c r="S412" i="1"/>
  <c r="U412" i="1" s="1"/>
  <c r="Q412" i="1"/>
  <c r="AB412" i="1" s="1"/>
  <c r="AB422" i="1"/>
  <c r="AB424" i="1"/>
  <c r="U430" i="1"/>
  <c r="Q436" i="1"/>
  <c r="AB436" i="1" s="1"/>
  <c r="R444" i="1"/>
  <c r="U444" i="1" s="1"/>
  <c r="Q444" i="1"/>
  <c r="AB444" i="1" s="1"/>
  <c r="Q406" i="1"/>
  <c r="Q418" i="1"/>
  <c r="J420" i="1"/>
  <c r="L420" i="1" s="1"/>
  <c r="R426" i="1"/>
  <c r="U426" i="1" s="1"/>
  <c r="Q426" i="1"/>
  <c r="AB426" i="1" s="1"/>
  <c r="J431" i="1"/>
  <c r="L431" i="1" s="1"/>
  <c r="R434" i="1"/>
  <c r="U434" i="1" s="1"/>
  <c r="Q434" i="1"/>
  <c r="AB434" i="1" s="1"/>
  <c r="U441" i="1"/>
  <c r="U463" i="1"/>
  <c r="AB480" i="1"/>
  <c r="U453" i="1"/>
  <c r="U456" i="1"/>
  <c r="AB427" i="1"/>
  <c r="AB432" i="1"/>
  <c r="AB435" i="1"/>
  <c r="R437" i="1"/>
  <c r="U437" i="1" s="1"/>
  <c r="Q437" i="1"/>
  <c r="AB437" i="1" s="1"/>
  <c r="AB438" i="1"/>
  <c r="Y444" i="1"/>
  <c r="Q374" i="1"/>
  <c r="Q393" i="1"/>
  <c r="AB393" i="1" s="1"/>
  <c r="Q398" i="1"/>
  <c r="Q402" i="1"/>
  <c r="Q410" i="1"/>
  <c r="AB410" i="1" s="1"/>
  <c r="Y413" i="1"/>
  <c r="Q421" i="1"/>
  <c r="AB421" i="1" s="1"/>
  <c r="Q425" i="1"/>
  <c r="AB425" i="1" s="1"/>
  <c r="J429" i="1"/>
  <c r="L429" i="1" s="1"/>
  <c r="U439" i="1"/>
  <c r="AB445" i="1"/>
  <c r="Q405" i="1"/>
  <c r="AB405" i="1" s="1"/>
  <c r="Q413" i="1"/>
  <c r="AB413" i="1" s="1"/>
  <c r="Q417" i="1"/>
  <c r="AB417" i="1" s="1"/>
  <c r="Q423" i="1"/>
  <c r="AB423" i="1" s="1"/>
  <c r="Q431" i="1"/>
  <c r="AB431" i="1" s="1"/>
  <c r="R448" i="1"/>
  <c r="U448" i="1" s="1"/>
  <c r="Q448" i="1"/>
  <c r="AB448" i="1" s="1"/>
  <c r="U451" i="1"/>
  <c r="J426" i="1"/>
  <c r="L426" i="1" s="1"/>
  <c r="R446" i="1"/>
  <c r="U446" i="1" s="1"/>
  <c r="Q446" i="1"/>
  <c r="AB446" i="1" s="1"/>
  <c r="Q460" i="1"/>
  <c r="J462" i="1"/>
  <c r="L462" i="1" s="1"/>
  <c r="J463" i="1"/>
  <c r="L463" i="1" s="1"/>
  <c r="J493" i="1"/>
  <c r="L493" i="1" s="1"/>
  <c r="AB458" i="1"/>
  <c r="AB481" i="1"/>
  <c r="AB488" i="1"/>
  <c r="AB506" i="1"/>
  <c r="AB519" i="1"/>
  <c r="R483" i="1"/>
  <c r="U483" i="1" s="1"/>
  <c r="Q483" i="1"/>
  <c r="AB483" i="1" s="1"/>
  <c r="Q491" i="1"/>
  <c r="AB491" i="1" s="1"/>
  <c r="R507" i="1"/>
  <c r="U507" i="1" s="1"/>
  <c r="Q507" i="1"/>
  <c r="AB460" i="1"/>
  <c r="Q463" i="1"/>
  <c r="AB463" i="1" s="1"/>
  <c r="Q464" i="1"/>
  <c r="AB464" i="1" s="1"/>
  <c r="Q465" i="1"/>
  <c r="AB465" i="1" s="1"/>
  <c r="Y471" i="1"/>
  <c r="J472" i="1"/>
  <c r="L472" i="1" s="1"/>
  <c r="AB474" i="1"/>
  <c r="J475" i="1"/>
  <c r="L475" i="1" s="1"/>
  <c r="R479" i="1"/>
  <c r="U479" i="1" s="1"/>
  <c r="Y489" i="1"/>
  <c r="Q490" i="1"/>
  <c r="AB490" i="1" s="1"/>
  <c r="J494" i="1"/>
  <c r="L494" i="1" s="1"/>
  <c r="Q497" i="1"/>
  <c r="AB497" i="1" s="1"/>
  <c r="R497" i="1"/>
  <c r="U497" i="1" s="1"/>
  <c r="U506" i="1"/>
  <c r="AB510" i="1"/>
  <c r="AB513" i="1"/>
  <c r="Q456" i="1"/>
  <c r="AB456" i="1" s="1"/>
  <c r="R462" i="1"/>
  <c r="U462" i="1" s="1"/>
  <c r="Q467" i="1"/>
  <c r="AB467" i="1" s="1"/>
  <c r="Q468" i="1"/>
  <c r="Q469" i="1"/>
  <c r="AB469" i="1" s="1"/>
  <c r="Q470" i="1"/>
  <c r="AB470" i="1" s="1"/>
  <c r="U474" i="1"/>
  <c r="R493" i="1"/>
  <c r="U493" i="1" s="1"/>
  <c r="R498" i="1"/>
  <c r="U498" i="1" s="1"/>
  <c r="Q498" i="1"/>
  <c r="AB498" i="1" s="1"/>
  <c r="S503" i="1"/>
  <c r="U503" i="1" s="1"/>
  <c r="Q503" i="1"/>
  <c r="AB503" i="1" s="1"/>
  <c r="Q513" i="1"/>
  <c r="R514" i="1"/>
  <c r="U514" i="1" s="1"/>
  <c r="J514" i="1"/>
  <c r="L514" i="1" s="1"/>
  <c r="Q514" i="1"/>
  <c r="AB514" i="1" s="1"/>
  <c r="Q453" i="1"/>
  <c r="AB453" i="1" s="1"/>
  <c r="Q457" i="1"/>
  <c r="AB457" i="1" s="1"/>
  <c r="J460" i="1"/>
  <c r="L460" i="1" s="1"/>
  <c r="R466" i="1"/>
  <c r="U466" i="1" s="1"/>
  <c r="AB468" i="1"/>
  <c r="AB485" i="1"/>
  <c r="R487" i="1"/>
  <c r="U487" i="1" s="1"/>
  <c r="Q487" i="1"/>
  <c r="AB487" i="1" s="1"/>
  <c r="U490" i="1"/>
  <c r="U505" i="1"/>
  <c r="AB511" i="1"/>
  <c r="U470" i="1"/>
  <c r="R475" i="1"/>
  <c r="U475" i="1" s="1"/>
  <c r="Q475" i="1"/>
  <c r="AB475" i="1" s="1"/>
  <c r="AB478" i="1"/>
  <c r="R480" i="1"/>
  <c r="U480" i="1" s="1"/>
  <c r="Q480" i="1"/>
  <c r="Z483" i="1"/>
  <c r="J483" i="1" s="1"/>
  <c r="L483" i="1" s="1"/>
  <c r="Y483" i="1"/>
  <c r="J486" i="1"/>
  <c r="L486" i="1" s="1"/>
  <c r="AB505" i="1"/>
  <c r="J507" i="1"/>
  <c r="L507" i="1" s="1"/>
  <c r="Y460" i="1"/>
  <c r="R472" i="1"/>
  <c r="U472" i="1" s="1"/>
  <c r="AB477" i="1"/>
  <c r="J479" i="1"/>
  <c r="L479" i="1" s="1"/>
  <c r="AB482" i="1"/>
  <c r="AB484" i="1"/>
  <c r="R494" i="1"/>
  <c r="U494" i="1" s="1"/>
  <c r="Q494" i="1"/>
  <c r="AB494" i="1" s="1"/>
  <c r="U500" i="1"/>
  <c r="R513" i="1"/>
  <c r="U513" i="1" s="1"/>
  <c r="J505" i="1"/>
  <c r="L505" i="1" s="1"/>
  <c r="U533" i="1"/>
  <c r="Q485" i="1"/>
  <c r="Q492" i="1"/>
  <c r="AB492" i="1" s="1"/>
  <c r="Q504" i="1"/>
  <c r="AB504" i="1" s="1"/>
  <c r="Q510" i="1"/>
  <c r="S515" i="1"/>
  <c r="U515" i="1" s="1"/>
  <c r="R517" i="1"/>
  <c r="U517" i="1" s="1"/>
  <c r="R525" i="1"/>
  <c r="U525" i="1" s="1"/>
  <c r="Q525" i="1"/>
  <c r="AB525" i="1" s="1"/>
  <c r="AB533" i="1"/>
  <c r="U521" i="1"/>
  <c r="U534" i="1"/>
  <c r="Q476" i="1"/>
  <c r="AB476" i="1" s="1"/>
  <c r="Q511" i="1"/>
  <c r="J513" i="1"/>
  <c r="L513" i="1" s="1"/>
  <c r="AB523" i="1"/>
  <c r="R522" i="1"/>
  <c r="U522" i="1" s="1"/>
  <c r="Q522" i="1"/>
  <c r="AB522" i="1" s="1"/>
  <c r="U527" i="1"/>
  <c r="AB527" i="1"/>
  <c r="AB531" i="1"/>
  <c r="AB540" i="1"/>
  <c r="Q518" i="1"/>
  <c r="AB518" i="1" s="1"/>
  <c r="U519" i="1"/>
  <c r="J525" i="1"/>
  <c r="L525" i="1" s="1"/>
  <c r="R532" i="1"/>
  <c r="U532" i="1" s="1"/>
  <c r="Q532" i="1"/>
  <c r="AB532" i="1" s="1"/>
  <c r="Q526" i="1"/>
  <c r="AB526" i="1" s="1"/>
  <c r="Q533" i="1"/>
  <c r="Q536" i="1"/>
  <c r="AB536" i="1" s="1"/>
  <c r="Z537" i="1"/>
  <c r="J537" i="1" s="1"/>
  <c r="L537" i="1" s="1"/>
  <c r="AB549" i="1"/>
  <c r="J550" i="1"/>
  <c r="L550" i="1" s="1"/>
  <c r="Q551" i="1"/>
  <c r="AB551" i="1" s="1"/>
  <c r="R551" i="1"/>
  <c r="U551" i="1" s="1"/>
  <c r="U552" i="1"/>
  <c r="Y553" i="1"/>
  <c r="R565" i="1"/>
  <c r="U565" i="1" s="1"/>
  <c r="Q565" i="1"/>
  <c r="AB565" i="1" s="1"/>
  <c r="AB567" i="1"/>
  <c r="AB581" i="1"/>
  <c r="S523" i="1"/>
  <c r="U523" i="1" s="1"/>
  <c r="J545" i="1"/>
  <c r="L545" i="1" s="1"/>
  <c r="U554" i="1"/>
  <c r="U569" i="1"/>
  <c r="U576" i="1"/>
  <c r="J544" i="1"/>
  <c r="L544" i="1" s="1"/>
  <c r="J547" i="1"/>
  <c r="L547" i="1" s="1"/>
  <c r="R568" i="1"/>
  <c r="U568" i="1" s="1"/>
  <c r="Q568" i="1"/>
  <c r="AB568" i="1" s="1"/>
  <c r="U581" i="1"/>
  <c r="R553" i="1"/>
  <c r="Q553" i="1"/>
  <c r="AB553" i="1"/>
  <c r="Z571" i="1"/>
  <c r="J571" i="1" s="1"/>
  <c r="L571" i="1" s="1"/>
  <c r="Y571" i="1"/>
  <c r="R572" i="1"/>
  <c r="U572" i="1" s="1"/>
  <c r="Q572" i="1"/>
  <c r="AB572" i="1" s="1"/>
  <c r="S599" i="1"/>
  <c r="U599" i="1" s="1"/>
  <c r="Q599" i="1"/>
  <c r="AB599" i="1" s="1"/>
  <c r="Q530" i="1"/>
  <c r="AB530" i="1" s="1"/>
  <c r="Y530" i="1"/>
  <c r="Q538" i="1"/>
  <c r="AB538" i="1" s="1"/>
  <c r="Q542" i="1"/>
  <c r="AB542" i="1" s="1"/>
  <c r="R548" i="1"/>
  <c r="U548" i="1" s="1"/>
  <c r="Q548" i="1"/>
  <c r="AB548" i="1" s="1"/>
  <c r="Q550" i="1"/>
  <c r="AB550" i="1" s="1"/>
  <c r="S553" i="1"/>
  <c r="R555" i="1"/>
  <c r="U555" i="1" s="1"/>
  <c r="Q555" i="1"/>
  <c r="AB555" i="1" s="1"/>
  <c r="AB566" i="1"/>
  <c r="R578" i="1"/>
  <c r="U578" i="1" s="1"/>
  <c r="Q578" i="1"/>
  <c r="AB578" i="1" s="1"/>
  <c r="AB580" i="1"/>
  <c r="R543" i="1"/>
  <c r="U543" i="1" s="1"/>
  <c r="Q544" i="1"/>
  <c r="AB544" i="1" s="1"/>
  <c r="Q545" i="1"/>
  <c r="AB545" i="1" s="1"/>
  <c r="Q547" i="1"/>
  <c r="AB547" i="1" s="1"/>
  <c r="AB558" i="1"/>
  <c r="R563" i="1"/>
  <c r="U563" i="1" s="1"/>
  <c r="Q563" i="1"/>
  <c r="AB563" i="1" s="1"/>
  <c r="S586" i="1"/>
  <c r="U586" i="1" s="1"/>
  <c r="Q586" i="1"/>
  <c r="AB586" i="1" s="1"/>
  <c r="J553" i="1"/>
  <c r="L553" i="1" s="1"/>
  <c r="R560" i="1"/>
  <c r="U560" i="1" s="1"/>
  <c r="Q560" i="1"/>
  <c r="AB560" i="1" s="1"/>
  <c r="J568" i="1"/>
  <c r="L568" i="1" s="1"/>
  <c r="R571" i="1"/>
  <c r="U597" i="1"/>
  <c r="Q601" i="1"/>
  <c r="AB601" i="1" s="1"/>
  <c r="S601" i="1"/>
  <c r="U601" i="1" s="1"/>
  <c r="AB546" i="1"/>
  <c r="Q557" i="1"/>
  <c r="AB557" i="1" s="1"/>
  <c r="AB564" i="1"/>
  <c r="J572" i="1"/>
  <c r="L572" i="1" s="1"/>
  <c r="U574" i="1"/>
  <c r="AB574" i="1"/>
  <c r="AB584" i="1"/>
  <c r="R566" i="1"/>
  <c r="U566" i="1" s="1"/>
  <c r="R573" i="1"/>
  <c r="U573" i="1" s="1"/>
  <c r="U580" i="1"/>
  <c r="Q582" i="1"/>
  <c r="R584" i="1"/>
  <c r="U584" i="1" s="1"/>
  <c r="Q584" i="1"/>
  <c r="AB594" i="1"/>
  <c r="Q597" i="1"/>
  <c r="AB597" i="1" s="1"/>
  <c r="AB596" i="1"/>
  <c r="U602" i="1"/>
  <c r="AB582" i="1"/>
  <c r="Q596" i="1"/>
  <c r="Q606" i="1"/>
  <c r="AB606" i="1" s="1"/>
  <c r="S606" i="1"/>
  <c r="AB607" i="1"/>
  <c r="AB585" i="1"/>
  <c r="AB589" i="1"/>
  <c r="AB590" i="1"/>
  <c r="Q593" i="1"/>
  <c r="AB593" i="1" s="1"/>
  <c r="AB598" i="1"/>
  <c r="Q603" i="1"/>
  <c r="AB603" i="1" s="1"/>
  <c r="S603" i="1"/>
  <c r="U603" i="1" s="1"/>
  <c r="U607" i="1"/>
  <c r="AB631" i="1"/>
  <c r="AB632" i="1"/>
  <c r="Q571" i="1"/>
  <c r="AB571" i="1" s="1"/>
  <c r="AB600" i="1"/>
  <c r="U604" i="1"/>
  <c r="AB630" i="1"/>
  <c r="J583" i="1"/>
  <c r="L583" i="1" s="1"/>
  <c r="J584" i="1"/>
  <c r="L584" i="1" s="1"/>
  <c r="J587" i="1"/>
  <c r="L587" i="1" s="1"/>
  <c r="R588" i="1"/>
  <c r="U588" i="1" s="1"/>
  <c r="Q588" i="1"/>
  <c r="AB588" i="1" s="1"/>
  <c r="J591" i="1"/>
  <c r="L591" i="1" s="1"/>
  <c r="R592" i="1"/>
  <c r="U592" i="1" s="1"/>
  <c r="Q592" i="1"/>
  <c r="AB592" i="1" s="1"/>
  <c r="Q595" i="1"/>
  <c r="AB595" i="1" s="1"/>
  <c r="Q608" i="1"/>
  <c r="AB608" i="1" s="1"/>
  <c r="S608" i="1"/>
  <c r="U608" i="1" s="1"/>
  <c r="U609" i="1"/>
  <c r="AB629" i="1"/>
  <c r="AB642" i="1"/>
  <c r="Q618" i="1"/>
  <c r="AB618" i="1" s="1"/>
  <c r="Q626" i="1"/>
  <c r="AB626" i="1" s="1"/>
  <c r="Q612" i="1"/>
  <c r="AB612" i="1" s="1"/>
  <c r="Q615" i="1"/>
  <c r="AB615" i="1" s="1"/>
  <c r="Q623" i="1"/>
  <c r="AB623" i="1" s="1"/>
  <c r="J640" i="1"/>
  <c r="L640" i="1" s="1"/>
  <c r="Q602" i="1"/>
  <c r="AB602" i="1" s="1"/>
  <c r="Q607" i="1"/>
  <c r="Q609" i="1"/>
  <c r="AB609" i="1" s="1"/>
  <c r="U489" i="1" l="1"/>
  <c r="U325" i="1"/>
  <c r="U172" i="1"/>
  <c r="U571" i="1"/>
  <c r="U146" i="1"/>
  <c r="U273" i="1"/>
  <c r="U231" i="1"/>
  <c r="U211" i="1"/>
  <c r="U401" i="1"/>
  <c r="U530" i="1"/>
  <c r="U450" i="1"/>
  <c r="U341" i="1"/>
  <c r="U333" i="1"/>
  <c r="U326" i="1"/>
  <c r="U606" i="1"/>
  <c r="U130" i="1"/>
  <c r="U382" i="1"/>
  <c r="U400" i="1"/>
  <c r="U294" i="1"/>
  <c r="U268" i="1"/>
  <c r="U471" i="1"/>
  <c r="U118" i="1"/>
  <c r="U254" i="1"/>
  <c r="U553" i="1"/>
  <c r="U147" i="1"/>
  <c r="U151" i="1"/>
  <c r="U124" i="1"/>
  <c r="U137" i="1"/>
  <c r="AB122" i="1"/>
  <c r="Q141" i="1"/>
  <c r="R141" i="1"/>
  <c r="AB128" i="1"/>
  <c r="U125" i="1"/>
  <c r="AB124" i="1"/>
  <c r="U141" i="1" l="1"/>
  <c r="AB14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Gretha</author>
    <author>YOGA</author>
  </authors>
  <commentList>
    <comment ref="Z27" authorId="0" shapeId="0" xr:uid="{2B3AD0E4-8C75-4C36-9B99-A95A4FDDE478}">
      <text>
        <r>
          <rPr>
            <sz val="9"/>
            <rFont val="Tahoma"/>
            <family val="2"/>
          </rPr>
          <t>(rehab) lalu dilunasi</t>
        </r>
      </text>
    </comment>
    <comment ref="F58" authorId="0" shapeId="0" xr:uid="{F91DFCDC-53D5-457A-BBF3-89B5236AB4AF}">
      <text>
        <r>
          <rPr>
            <sz val="9"/>
            <rFont val="Tahoma"/>
            <family val="2"/>
          </rPr>
          <t>Marketing Kopnus hub Kntr 21/11/25
Konfirm pelunasan. Debitur udah di TO kopnus. NBP minta bayarkan pelunasan. Belum ada info lanjut</t>
        </r>
      </text>
    </comment>
    <comment ref="Y83" authorId="0" shapeId="0" xr:uid="{31A96D06-A6E3-4B26-BB4B-0FC934EBA9A6}">
      <text>
        <r>
          <rPr>
            <sz val="9"/>
            <rFont val="Tahoma"/>
            <family val="2"/>
          </rPr>
          <t xml:space="preserve">WAHYU SRIPENI, S.PD (FAS II) - Rehab
</t>
        </r>
        <r>
          <rPr>
            <sz val="8"/>
            <rFont val="Tahoma"/>
            <family val="2"/>
          </rPr>
          <t>FAS KE II - Rehab 01/08/25 OS 4.480.000 - LB SDH KEMBALI 280.000</t>
        </r>
      </text>
    </comment>
    <comment ref="Y86" authorId="0" shapeId="0" xr:uid="{7A186AA4-4ECB-4073-B750-CA2CD8B5C971}">
      <text>
        <r>
          <rPr>
            <sz val="9"/>
            <rFont val="Tahoma"/>
            <family val="2"/>
          </rPr>
          <t>LILIS TATI CANTIN - REHAB - 07/08 (OS 5.700.000) - LB 475.000 - OS agust saat rehab seharusnya 5.225.000 - sdh kembali 15/08</t>
        </r>
      </text>
    </comment>
    <comment ref="Y90" authorId="0" shapeId="0" xr:uid="{2AD55DE9-F1C5-4F62-ADED-901E1F2ABE6E}">
      <text>
        <r>
          <rPr>
            <sz val="9"/>
            <rFont val="Tahoma"/>
            <family val="2"/>
          </rPr>
          <t>KURNIA HIDAYAT - REHAB 12/09 OS Agust 3.000.000 - LB 250.000 sdh dikembalikan 26/09</t>
        </r>
      </text>
    </comment>
    <comment ref="Y92" authorId="0" shapeId="0" xr:uid="{D86DF9AE-362A-4E3E-B964-7F33C24D254A}">
      <text>
        <r>
          <rPr>
            <sz val="9"/>
            <rFont val="Tahoma"/>
            <family val="2"/>
          </rPr>
          <t>SUKARDI ATMOKO - REHAB 03/09 OS 2.166.667 OS Agustus - LB 166.667 Kembali 26/09</t>
        </r>
      </text>
    </comment>
    <comment ref="Y93" authorId="0" shapeId="0" xr:uid="{F9228FBE-0DDE-4B0B-A195-1166624F40A6}">
      <text>
        <r>
          <rPr>
            <sz val="9"/>
            <rFont val="Tahoma"/>
            <family val="2"/>
          </rPr>
          <t>TARDI SUTARMAN
rehab 11/09 PELUNASAN 3.600.000 - LB 787.500 sdh dikembalikan 26/09</t>
        </r>
      </text>
    </comment>
    <comment ref="Y94" authorId="0" shapeId="0" xr:uid="{F266D66C-FF63-45F2-85BF-06D30416E6A5}">
      <text>
        <r>
          <rPr>
            <b/>
            <sz val="9"/>
            <rFont val="Tahoma"/>
            <family val="2"/>
          </rPr>
          <t xml:space="preserve">IMAN SUTARJANA
</t>
        </r>
        <r>
          <rPr>
            <sz val="9"/>
            <rFont val="Tahoma"/>
            <family val="2"/>
          </rPr>
          <t>REHAB 17/10 (OS 1.868.714 - hasil OS Okt + Bunga tunggakan)</t>
        </r>
      </text>
    </comment>
    <comment ref="Y95" authorId="0" shapeId="0" xr:uid="{93A540EA-069E-4769-BE57-CE7FA7C2C55C}">
      <text>
        <r>
          <rPr>
            <b/>
            <sz val="9"/>
            <rFont val="Tahoma"/>
            <family val="2"/>
          </rPr>
          <t xml:space="preserve">E SUHERMAN
</t>
        </r>
        <r>
          <rPr>
            <sz val="9"/>
            <rFont val="Tahoma"/>
            <family val="2"/>
          </rPr>
          <t>REHAB 20/10 (OS 1.100.000)</t>
        </r>
      </text>
    </comment>
    <comment ref="Y96" authorId="0" shapeId="0" xr:uid="{E66FC2EF-F010-4823-A2EE-2B4E20AC80D8}">
      <text>
        <r>
          <rPr>
            <b/>
            <sz val="9"/>
            <rFont val="Tahoma"/>
            <family val="2"/>
          </rPr>
          <t xml:space="preserve">ENDANG H
</t>
        </r>
        <r>
          <rPr>
            <sz val="9"/>
            <rFont val="Tahoma"/>
            <family val="2"/>
          </rPr>
          <t>REHAB 28/10 (OS 2.925.000)</t>
        </r>
      </text>
    </comment>
    <comment ref="Y97" authorId="0" shapeId="0" xr:uid="{2C2FE746-8572-48AE-9505-920C94003B4D}">
      <text>
        <r>
          <rPr>
            <b/>
            <sz val="9"/>
            <rFont val="Tahoma"/>
            <family val="2"/>
          </rPr>
          <t xml:space="preserve">SONYA LINDA LOPIES
</t>
        </r>
        <r>
          <rPr>
            <sz val="9"/>
            <rFont val="Tahoma"/>
            <family val="2"/>
          </rPr>
          <t>REHAB 04/11 - OS 787.500 - LB 87.500 DONE KEMBALI 14/11</t>
        </r>
      </text>
    </comment>
    <comment ref="Y98" authorId="0" shapeId="0" xr:uid="{84F9D7EF-9AEE-4998-B94E-F02B659CF06B}">
      <text>
        <r>
          <rPr>
            <b/>
            <sz val="9"/>
            <rFont val="Tahoma"/>
            <family val="2"/>
          </rPr>
          <t>EEM SUHAEMI</t>
        </r>
        <r>
          <rPr>
            <sz val="9"/>
            <rFont val="Tahoma"/>
            <family val="2"/>
          </rPr>
          <t xml:space="preserve">
REHAB 18/11 - OS 1.312.500</t>
        </r>
      </text>
    </comment>
    <comment ref="Y99" authorId="0" shapeId="0" xr:uid="{7E6CD2F8-29EB-4605-B659-2F0651A190F2}">
      <text>
        <r>
          <rPr>
            <b/>
            <sz val="9"/>
            <rFont val="Tahoma"/>
            <family val="2"/>
          </rPr>
          <t>TUTI SRI MARSITI</t>
        </r>
        <r>
          <rPr>
            <sz val="9"/>
            <rFont val="Tahoma"/>
            <family val="2"/>
          </rPr>
          <t xml:space="preserve">
REHAB 07/11 - OS 4.464.166 - OS SESUAI</t>
        </r>
      </text>
    </comment>
    <comment ref="Y100" authorId="0" shapeId="0" xr:uid="{714734C1-CED9-4B7C-A313-897B9EB540BF}">
      <text>
        <r>
          <rPr>
            <b/>
            <sz val="9"/>
            <rFont val="Tahoma"/>
            <family val="2"/>
          </rPr>
          <t>AYI JAMALUDIN</t>
        </r>
        <r>
          <rPr>
            <sz val="9"/>
            <rFont val="Tahoma"/>
            <family val="2"/>
          </rPr>
          <t xml:space="preserve">
REHAB 05/11 - OS 4.298.808 - LB 482.442 - MEMO PENGEMBALIAN done</t>
        </r>
      </text>
    </comment>
    <comment ref="Y101" authorId="0" shapeId="0" xr:uid="{D2B04BDD-DBA6-4F1E-8BC6-28507458D8E5}">
      <text>
        <r>
          <rPr>
            <b/>
            <sz val="9"/>
            <rFont val="Tahoma"/>
            <family val="2"/>
          </rPr>
          <t>ENUNG RUHIYAT</t>
        </r>
        <r>
          <rPr>
            <sz val="9"/>
            <rFont val="Tahoma"/>
            <family val="2"/>
          </rPr>
          <t xml:space="preserve">
Rehab OS 2.572.917 - LB 197.917 MEMO PENGEMBALIAN - DONE</t>
        </r>
      </text>
    </comment>
    <comment ref="F116" authorId="0" shapeId="0" xr:uid="{BABB1835-D582-4263-84AC-66C7DA44BF28}">
      <text>
        <r>
          <rPr>
            <b/>
            <sz val="9"/>
            <rFont val="Tahoma"/>
            <family val="2"/>
          </rPr>
          <t>Pindah kantor bayar CAPITAL</t>
        </r>
        <r>
          <rPr>
            <sz val="9"/>
            <rFont val="Tahoma"/>
            <family val="2"/>
          </rPr>
          <t xml:space="preserve">
</t>
        </r>
      </text>
    </comment>
    <comment ref="F121" authorId="0" shapeId="0" xr:uid="{CD12DDBA-0AC1-41E0-8B2F-94B5999E6CC7}">
      <text>
        <r>
          <rPr>
            <b/>
            <sz val="9"/>
            <rFont val="Tahoma"/>
            <family val="2"/>
          </rPr>
          <t>Pindah KB ALADIN</t>
        </r>
      </text>
    </comment>
    <comment ref="F123" authorId="0" shapeId="0" xr:uid="{20DCF087-1E17-421F-83B3-144FFA5E5550}">
      <text>
        <r>
          <rPr>
            <b/>
            <sz val="9"/>
            <rFont val="Tahoma"/>
            <family val="2"/>
          </rPr>
          <t xml:space="preserve">Pindah KB : </t>
        </r>
        <r>
          <rPr>
            <sz val="9"/>
            <rFont val="Tahoma"/>
            <family val="2"/>
          </rPr>
          <t xml:space="preserve">- BPR DP TASPEN kantor cabang Utama 
</t>
        </r>
      </text>
    </comment>
    <comment ref="F129" authorId="0" shapeId="0" xr:uid="{77EC5BF5-378B-45CE-9725-FF114D773218}">
      <text>
        <r>
          <rPr>
            <b/>
            <sz val="9"/>
            <rFont val="Tahoma"/>
            <family val="2"/>
          </rPr>
          <t xml:space="preserve">KANTOR BAYAR POS
</t>
        </r>
        <r>
          <rPr>
            <sz val="9"/>
            <rFont val="Tahoma"/>
            <family val="2"/>
          </rPr>
          <t>Punya sisa gaji 589.000 tagihkan sebesar itu</t>
        </r>
      </text>
    </comment>
    <comment ref="F132" authorId="0" shapeId="0" xr:uid="{C31E4EB0-EAE7-4047-BE03-EEA20C783A10}">
      <text>
        <r>
          <rPr>
            <b/>
            <sz val="9"/>
            <rFont val="Tahoma"/>
            <family val="2"/>
          </rPr>
          <t>debitur pindah KB Mantap - November tidak berhasil tagih di Mantap - coba lagi bulan Jan?</t>
        </r>
      </text>
    </comment>
    <comment ref="F134" authorId="0" shapeId="0" xr:uid="{F8A6E080-CE10-4174-ABDB-6DC7C97F4ECC}">
      <text>
        <r>
          <rPr>
            <b/>
            <sz val="9"/>
            <rFont val="Tahoma"/>
            <family val="2"/>
          </rPr>
          <t>Kantor Bayar POS - coba tagihkan lewat postra</t>
        </r>
      </text>
    </comment>
    <comment ref="F145" authorId="0" shapeId="0" xr:uid="{6424B925-5B6A-4B01-B796-D61A680F5C70}">
      <text>
        <r>
          <rPr>
            <b/>
            <sz val="9"/>
            <rFont val="Tahoma"/>
            <family val="2"/>
          </rPr>
          <t>pelunasan sudah di Hendra
tapi belum diteruskan ke Nata</t>
        </r>
      </text>
    </comment>
    <comment ref="F173" authorId="0" shapeId="0" xr:uid="{090165BB-D605-401F-93E6-E8FE6643CAE3}">
      <text>
        <r>
          <rPr>
            <b/>
            <sz val="9"/>
            <rFont val="Tahoma"/>
            <family val="2"/>
          </rPr>
          <t>Gretha:</t>
        </r>
        <r>
          <rPr>
            <sz val="9"/>
            <rFont val="Tahoma"/>
            <family val="2"/>
          </rPr>
          <t xml:space="preserve">
NAMA DEBITUR MOH SOLIHIN. Di DAPEM hanya ditulis MOH_ (SPASI)</t>
        </r>
      </text>
    </comment>
    <comment ref="F199" authorId="1" shapeId="0" xr:uid="{65317404-E640-4D95-AF14-11888C831D10}">
      <text>
        <r>
          <rPr>
            <b/>
            <sz val="9"/>
            <rFont val="Tahoma"/>
            <family val="2"/>
          </rPr>
          <t>RATIMAH BINTI SAPNA</t>
        </r>
      </text>
    </comment>
    <comment ref="F216" authorId="0" shapeId="0" xr:uid="{FA512EA9-3123-4620-B88A-A054600E00BC}">
      <text>
        <r>
          <rPr>
            <b/>
            <sz val="9"/>
            <rFont val="Tahoma"/>
            <family val="2"/>
          </rPr>
          <t>Ahmadi</t>
        </r>
        <r>
          <rPr>
            <sz val="9"/>
            <rFont val="Tahoma"/>
            <family val="2"/>
          </rPr>
          <t xml:space="preserve">
Konfirm ke Ayu sudah ngelunasin pembayaran Nata melalui Pak Hendra.
</t>
        </r>
      </text>
    </comment>
    <comment ref="F250" authorId="0" shapeId="0" xr:uid="{15C53C7A-0224-4869-98DE-693B4FDE8BCF}">
      <text>
        <r>
          <rPr>
            <sz val="9"/>
            <rFont val="Tahoma"/>
            <family val="2"/>
          </rPr>
          <t>debitur merasa sudah melakukan pembayaran oktober. Kesalahan keterangan KB - cek tunggu rek koran dari bu maria</t>
        </r>
      </text>
    </comment>
    <comment ref="F486" authorId="0" shapeId="0" xr:uid="{EF30676C-81C3-44D5-86CA-F014471B0446}">
      <text>
        <r>
          <rPr>
            <b/>
            <sz val="9"/>
            <rFont val="Tahoma"/>
            <family val="2"/>
          </rPr>
          <t>TO Kopnus - info 06/01/26</t>
        </r>
      </text>
    </comment>
    <comment ref="F507" authorId="0" shapeId="0" xr:uid="{EA137871-7A83-4E26-B694-C749BFDF3126}">
      <text>
        <r>
          <rPr>
            <b/>
            <sz val="9"/>
            <rFont val="Tahoma"/>
            <family val="2"/>
          </rPr>
          <t>TO Kopnus - info 06/01/26</t>
        </r>
      </text>
    </comment>
  </commentList>
</comments>
</file>

<file path=xl/sharedStrings.xml><?xml version="1.0" encoding="utf-8"?>
<sst xmlns="http://schemas.openxmlformats.org/spreadsheetml/2006/main" count="1753" uniqueCount="1163">
  <si>
    <t>KSP. NATA BUANA PASUNDAN</t>
  </si>
  <si>
    <t>INDEKS KETERANGAN WARNA</t>
  </si>
  <si>
    <t>KOLEKTIBILITAS Bank KB Indonesia X NATA</t>
  </si>
  <si>
    <t>FAS KREDIT LEBIH DARI 1</t>
  </si>
  <si>
    <t>TOPUP / REHAB</t>
  </si>
  <si>
    <t>Periode :  DESEMBER 2025</t>
  </si>
  <si>
    <t>LUNAS / PELUNASAN</t>
  </si>
  <si>
    <t>RESTRUKTUR</t>
  </si>
  <si>
    <t>MD - MENINGGAL DUNIA</t>
  </si>
  <si>
    <t>NO.</t>
  </si>
  <si>
    <t>NOPEN</t>
  </si>
  <si>
    <t>NOREK</t>
  </si>
  <si>
    <t>TANGGAL</t>
  </si>
  <si>
    <t>NAMA</t>
  </si>
  <si>
    <t>MO</t>
  </si>
  <si>
    <t>PLAFOND</t>
  </si>
  <si>
    <t>BUNGA</t>
  </si>
  <si>
    <t>% byr</t>
  </si>
  <si>
    <t>BAKI AWAL</t>
  </si>
  <si>
    <t>ANGSURAN JATUH TEMPO</t>
  </si>
  <si>
    <t>ANGSURAN BELUM DITERIMA</t>
  </si>
  <si>
    <t>ANGSURAN TELAH DITERIMA</t>
  </si>
  <si>
    <t>BAKI AKHIR</t>
  </si>
  <si>
    <t>POKOK</t>
  </si>
  <si>
    <t>S.WJB</t>
  </si>
  <si>
    <t>JUMLAH</t>
  </si>
  <si>
    <t>CUCU TRISNA RAHAYU</t>
  </si>
  <si>
    <t>RATIH</t>
  </si>
  <si>
    <t>3 Oktober 2024</t>
  </si>
  <si>
    <t>ONO SUHANA</t>
  </si>
  <si>
    <t>HARIS</t>
  </si>
  <si>
    <t>24 Oktober 2024</t>
  </si>
  <si>
    <t>APID</t>
  </si>
  <si>
    <t>AYU</t>
  </si>
  <si>
    <t>01 November 2024</t>
  </si>
  <si>
    <t>YANTO SUHARTO</t>
  </si>
  <si>
    <t>05 November 2024</t>
  </si>
  <si>
    <t>SURIP SURYA GUNAWAN</t>
  </si>
  <si>
    <t>RIKA</t>
  </si>
  <si>
    <t>07 November 2024</t>
  </si>
  <si>
    <t>SUMARTINI</t>
  </si>
  <si>
    <t>VIVI / DITO</t>
  </si>
  <si>
    <t>14 November 2024</t>
  </si>
  <si>
    <t>ENCEP IDAM HOLID</t>
  </si>
  <si>
    <t>22 November 2024</t>
  </si>
  <si>
    <t>MAMAN DASMAN</t>
  </si>
  <si>
    <t>12 Desember 2024</t>
  </si>
  <si>
    <t>SADIAH</t>
  </si>
  <si>
    <t>IWANUDIN</t>
  </si>
  <si>
    <t>17 Januari 2025</t>
  </si>
  <si>
    <t>SULASTRI</t>
  </si>
  <si>
    <t>24 Januari 2025</t>
  </si>
  <si>
    <t>EMAN SULAEMAN - 13116514600</t>
  </si>
  <si>
    <t>DIFA/CUCU</t>
  </si>
  <si>
    <t>04 Februari 2025</t>
  </si>
  <si>
    <t>EEN JAENAH</t>
  </si>
  <si>
    <t>13 Februari 2025</t>
  </si>
  <si>
    <t>YAYAH HELIAWATY</t>
  </si>
  <si>
    <t>TITIN RUSTITI</t>
  </si>
  <si>
    <t>18 Februari 2025</t>
  </si>
  <si>
    <t>SUMARNO</t>
  </si>
  <si>
    <t>AGUS</t>
  </si>
  <si>
    <t>21 Februari 2025</t>
  </si>
  <si>
    <t>EDI SUYADI</t>
  </si>
  <si>
    <t>20 Februari 2025</t>
  </si>
  <si>
    <t>20041105433</t>
  </si>
  <si>
    <t>ENDANG SUPARMAN</t>
  </si>
  <si>
    <t>05 Maret 2025</t>
  </si>
  <si>
    <t>ED335755111030</t>
  </si>
  <si>
    <t>MARDIYANTO WALIMAN</t>
  </si>
  <si>
    <t>12 Maret 2025</t>
  </si>
  <si>
    <t>SUSILAWATI</t>
  </si>
  <si>
    <t>27 Maret 2025</t>
  </si>
  <si>
    <t>IKIN SODIKIN</t>
  </si>
  <si>
    <t>22 April 2025</t>
  </si>
  <si>
    <t>IMAS SUMARSIH</t>
  </si>
  <si>
    <t>DIFA/HARIS</t>
  </si>
  <si>
    <t>08 Mei 2025</t>
  </si>
  <si>
    <t>ASEP YUHENDI</t>
  </si>
  <si>
    <t>05 Mei 2025</t>
  </si>
  <si>
    <t>EMAN SULAEMAN</t>
  </si>
  <si>
    <t>01 MEI 2025</t>
  </si>
  <si>
    <t>48005894300</t>
  </si>
  <si>
    <t>JUNARIAH</t>
  </si>
  <si>
    <t>AAN</t>
  </si>
  <si>
    <t>14 Mei 2025</t>
  </si>
  <si>
    <t>EMI SUNARTI</t>
  </si>
  <si>
    <t>23 Juni 2025</t>
  </si>
  <si>
    <t>EMAH SUEMAH</t>
  </si>
  <si>
    <t>05 JUNI 2025</t>
  </si>
  <si>
    <t>13020068900</t>
  </si>
  <si>
    <t>SUMIATI - 13020068900</t>
  </si>
  <si>
    <t>08 JULI 2025</t>
  </si>
  <si>
    <t>SOEMARNO B TISNASASMITA</t>
  </si>
  <si>
    <t>11 JULI 2025</t>
  </si>
  <si>
    <t>BAMBANG SUYONO</t>
  </si>
  <si>
    <t>ENDANG SUARNA</t>
  </si>
  <si>
    <t>RONA</t>
  </si>
  <si>
    <t>14 JULI 2025</t>
  </si>
  <si>
    <t>UCE JUARIAH</t>
  </si>
  <si>
    <t>ANNISA</t>
  </si>
  <si>
    <t>10 JULI 2025</t>
  </si>
  <si>
    <t>13041195400</t>
  </si>
  <si>
    <t>DIDI SUPENO</t>
  </si>
  <si>
    <t>15 JULI 2025</t>
  </si>
  <si>
    <t>TOTO KARNOTO</t>
  </si>
  <si>
    <t>NANANG</t>
  </si>
  <si>
    <t>19 AGUSTUS 2025</t>
  </si>
  <si>
    <t>OMA SUTISNA</t>
  </si>
  <si>
    <t>26 AGUSTUS 2025</t>
  </si>
  <si>
    <t>RUKMAN SUHARTO</t>
  </si>
  <si>
    <t>01 SEPTEMBER 2025</t>
  </si>
  <si>
    <t>13136644600</t>
  </si>
  <si>
    <t>NANA RUKMANA</t>
  </si>
  <si>
    <t>106 - CIREBON - RIKA</t>
  </si>
  <si>
    <t>02 SEPTEMBER 2025</t>
  </si>
  <si>
    <t>NURDIN</t>
  </si>
  <si>
    <t>ALDI</t>
  </si>
  <si>
    <t>03 SEPTEMBER 2025</t>
  </si>
  <si>
    <t>WAWAS S</t>
  </si>
  <si>
    <t>05 SEPTEMBER 2025</t>
  </si>
  <si>
    <t>KARMILAH</t>
  </si>
  <si>
    <t>DEVI/AYU</t>
  </si>
  <si>
    <t>30 SEPTEMBER 2025</t>
  </si>
  <si>
    <t>11005039200</t>
  </si>
  <si>
    <t>ACHMAD</t>
  </si>
  <si>
    <t>15 SEPTEMBER 2025</t>
  </si>
  <si>
    <t>TBC</t>
  </si>
  <si>
    <t>13110576900</t>
  </si>
  <si>
    <t>RANTUNG JULTJE</t>
  </si>
  <si>
    <t>101 - BANDUNG - DASUN</t>
  </si>
  <si>
    <t>22 SEPTEMBER 2025</t>
  </si>
  <si>
    <t>MUSTIKA</t>
  </si>
  <si>
    <t>RUDI ACE</t>
  </si>
  <si>
    <t>SETIATI D KUSUMAH</t>
  </si>
  <si>
    <t>Elis Purwanti</t>
  </si>
  <si>
    <t>OFON SOFYAN</t>
  </si>
  <si>
    <t>SITI KOMARIAH</t>
  </si>
  <si>
    <t>KARTINI</t>
  </si>
  <si>
    <t>DIFA / RIZKI</t>
  </si>
  <si>
    <t>NONO MARTONO KUSWOYO</t>
  </si>
  <si>
    <t>U RUKAJAH</t>
  </si>
  <si>
    <t>DIFA/RUDI</t>
  </si>
  <si>
    <t>TBC - kembali dana</t>
  </si>
  <si>
    <t>KUSPAI</t>
  </si>
  <si>
    <t>13047828600</t>
  </si>
  <si>
    <t>ENDANG BASKARA</t>
  </si>
  <si>
    <t>101-BANDUNG - AYU</t>
  </si>
  <si>
    <t>00802381400</t>
  </si>
  <si>
    <t>MAKTUM</t>
  </si>
  <si>
    <t>106 - CIREBON - RICKY / HARIS</t>
  </si>
  <si>
    <t>REHAB</t>
  </si>
  <si>
    <t>TATA SURANTA</t>
  </si>
  <si>
    <t>REHAB 03 JAN 2025</t>
  </si>
  <si>
    <t>WIRA</t>
  </si>
  <si>
    <t>REHAB 06 JAN 2025</t>
  </si>
  <si>
    <t>201211049480</t>
  </si>
  <si>
    <t>EUIS MIMI RUKMINI</t>
  </si>
  <si>
    <t>RATU SALMA</t>
  </si>
  <si>
    <t>REHAB 12 FEB 2025</t>
  </si>
  <si>
    <t>ENI KARDIANI</t>
  </si>
  <si>
    <t>REHAB 04 MAR 2025</t>
  </si>
  <si>
    <t>SUNARYA</t>
  </si>
  <si>
    <t>FIRMAN</t>
  </si>
  <si>
    <t>REHAB 07 MAR 2025</t>
  </si>
  <si>
    <t>REHAB 05 MEI 2025</t>
  </si>
  <si>
    <t>UJANG JUNAEDI</t>
  </si>
  <si>
    <t>YAYAT</t>
  </si>
  <si>
    <t>REHAB 09 MEI 2025</t>
  </si>
  <si>
    <t>201311071000</t>
  </si>
  <si>
    <t>ASEP SYAEFUDIN / ASEP SAEFUDIN</t>
  </si>
  <si>
    <t>CUCU</t>
  </si>
  <si>
    <t>RANTA SASMITA</t>
  </si>
  <si>
    <t>REHAB 04 JUNI 2025</t>
  </si>
  <si>
    <t>NYAI SOPIYAH / NYAI SOPIAH</t>
  </si>
  <si>
    <t>REHAB 19 JUNI 2025</t>
  </si>
  <si>
    <t>SUMBARSANA</t>
  </si>
  <si>
    <t>DIFA/EKA</t>
  </si>
  <si>
    <t>REHAB 20 JUNI 2025</t>
  </si>
  <si>
    <t>DENIS KHAJALIAH</t>
  </si>
  <si>
    <t>REHAB 12 JUNI 2025</t>
  </si>
  <si>
    <t>AAN SITI DJUHAROH</t>
  </si>
  <si>
    <t>DIDI SUPRIADI</t>
  </si>
  <si>
    <t>REHAB 26 JUNI 2025</t>
  </si>
  <si>
    <t>NANGNANG DJUMENA</t>
  </si>
  <si>
    <t>VIVI</t>
  </si>
  <si>
    <t>REHAB 01 JULI 2025</t>
  </si>
  <si>
    <t>WAHYU SRIPENI</t>
  </si>
  <si>
    <t>REHAB 04 JULI 2025</t>
  </si>
  <si>
    <t>RIYADI SLAMET</t>
  </si>
  <si>
    <t>DRS. HILMAN ROSYIDIN</t>
  </si>
  <si>
    <t>MULYADI</t>
  </si>
  <si>
    <t>REHAB 18 JULI 2025</t>
  </si>
  <si>
    <t>NINA ANGGRAENI</t>
  </si>
  <si>
    <t>REHAB 03 JULI 2025</t>
  </si>
  <si>
    <t>IWAN ROSNAMA</t>
  </si>
  <si>
    <t>REHAB 09 JULI 2025</t>
  </si>
  <si>
    <t>EUIS ATIKAH</t>
  </si>
  <si>
    <t>WAHYU SRIPENI, S.PD (FAS II) - Rehab</t>
  </si>
  <si>
    <t>REHAB 01 AGUST 2025</t>
  </si>
  <si>
    <t>UUN OTONG</t>
  </si>
  <si>
    <t>REHAB 05 AGUST 2025</t>
  </si>
  <si>
    <t>EMAN SUHARMAN</t>
  </si>
  <si>
    <t>REHAB 07 AGUST 2025</t>
  </si>
  <si>
    <t>LILIS TATI CANTINI</t>
  </si>
  <si>
    <t>TATANG SUHENDAR</t>
  </si>
  <si>
    <t>REHAB 12 AGUST 2025</t>
  </si>
  <si>
    <t>REHAB 22 SEPT 2025</t>
  </si>
  <si>
    <t>NANA SUTARNA</t>
  </si>
  <si>
    <t>REHAB 16 SEPT 2025</t>
  </si>
  <si>
    <t>KURNIA HIDAYAT</t>
  </si>
  <si>
    <t>REHAB 12 SEPT 2025</t>
  </si>
  <si>
    <t>SULAEMAN ENDJA</t>
  </si>
  <si>
    <t>REHAB 08 SEPT 2025</t>
  </si>
  <si>
    <t>SUKARDI ATMOKO</t>
  </si>
  <si>
    <t>REHAB 03 SEPT 2025</t>
  </si>
  <si>
    <t>TARDI SUTARMAN</t>
  </si>
  <si>
    <t>REHAB 11 SEPT 2025</t>
  </si>
  <si>
    <t>IMAN SUTARJANA</t>
  </si>
  <si>
    <t>AYU / ULI</t>
  </si>
  <si>
    <t>REHAB 17 OKT 2025</t>
  </si>
  <si>
    <t>E SUHERMAN</t>
  </si>
  <si>
    <t>REHAB 20 OKT 2025</t>
  </si>
  <si>
    <t>01006971600</t>
  </si>
  <si>
    <t>ENDANG H</t>
  </si>
  <si>
    <t>REHAB 28 OKT 2025</t>
  </si>
  <si>
    <t>SONYA LINDA LOPIES</t>
  </si>
  <si>
    <t>EEM SUHAEMI</t>
  </si>
  <si>
    <t>TUTI SRI MARSITI</t>
  </si>
  <si>
    <t>AYI JAMALUDIN</t>
  </si>
  <si>
    <t>ENUNG RUHIYAT</t>
  </si>
  <si>
    <t>CUCU MULYANA BAZAR</t>
  </si>
  <si>
    <t>NADOM</t>
  </si>
  <si>
    <t>YAYAT SUDARYAT</t>
  </si>
  <si>
    <t>IWANUDIN / SENIATI</t>
  </si>
  <si>
    <t>YM NURMAWATI</t>
  </si>
  <si>
    <t>11005254900</t>
  </si>
  <si>
    <t>ENGKOS KOSASIH - 11005254900</t>
  </si>
  <si>
    <t>SUDARTO</t>
  </si>
  <si>
    <t>HENDRA</t>
  </si>
  <si>
    <t>ECAH KANESAH</t>
  </si>
  <si>
    <t>13089592500</t>
  </si>
  <si>
    <t>001 - BANDUNG RAYA - AYU</t>
  </si>
  <si>
    <t>DULMUKTI</t>
  </si>
  <si>
    <t>12009194100</t>
  </si>
  <si>
    <t>ASE</t>
  </si>
  <si>
    <t>EKA</t>
  </si>
  <si>
    <t>13112951900</t>
  </si>
  <si>
    <t>SUMAAT</t>
  </si>
  <si>
    <t>101 - BANDUNG RAYA - AAN</t>
  </si>
  <si>
    <t>TATA TARYONO</t>
  </si>
  <si>
    <t>201014027390</t>
  </si>
  <si>
    <t>TRESNAWATI</t>
  </si>
  <si>
    <t>103 - SUBANG - DIFA / CUCU</t>
  </si>
  <si>
    <t>ADE KOMARUDIN</t>
  </si>
  <si>
    <t>13083225600</t>
  </si>
  <si>
    <t>YULIA</t>
  </si>
  <si>
    <t>13131717100</t>
  </si>
  <si>
    <t>NURHAYATI</t>
  </si>
  <si>
    <t>NURHAYATI (FAS II)</t>
  </si>
  <si>
    <t>04002839000</t>
  </si>
  <si>
    <t>MUHIDIN</t>
  </si>
  <si>
    <t>90001289300</t>
  </si>
  <si>
    <t>ENDANG KUSNENDAR</t>
  </si>
  <si>
    <t>AKBAR</t>
  </si>
  <si>
    <t>13187891100</t>
  </si>
  <si>
    <t>AKHMAD SAHRUDIN</t>
  </si>
  <si>
    <t>13090373600</t>
  </si>
  <si>
    <t>BERAHIM</t>
  </si>
  <si>
    <t>DIFA / RINO</t>
  </si>
  <si>
    <t>RESTRUK</t>
  </si>
  <si>
    <t>P5300216570</t>
  </si>
  <si>
    <t>0801330040</t>
  </si>
  <si>
    <t>AI DEDEH</t>
  </si>
  <si>
    <t>ENDANG</t>
  </si>
  <si>
    <t>POS</t>
  </si>
  <si>
    <t>10000470600</t>
  </si>
  <si>
    <t>ENGKOS KOSASIH - 10000470600</t>
  </si>
  <si>
    <t>ADE SYAMSUDDIN</t>
  </si>
  <si>
    <t>EKA PARAMADTYA</t>
  </si>
  <si>
    <t>SUWARNI</t>
  </si>
  <si>
    <t>MANGIMAN SIREGAR</t>
  </si>
  <si>
    <t>MULIYADI</t>
  </si>
  <si>
    <t>SUPRIATNA</t>
  </si>
  <si>
    <t>IWAN</t>
  </si>
  <si>
    <t>13041013300</t>
  </si>
  <si>
    <t>DEDE ROHAENI</t>
  </si>
  <si>
    <t>RUDI</t>
  </si>
  <si>
    <t>E HASANAH</t>
  </si>
  <si>
    <t>LUNAS</t>
  </si>
  <si>
    <t>13093313400</t>
  </si>
  <si>
    <t>SRI SULASTRI SIERA</t>
  </si>
  <si>
    <t>EEN SUHAENI</t>
  </si>
  <si>
    <t>MANTAP</t>
  </si>
  <si>
    <t>DRS H ASEP DEDI KUSNADI, SIP</t>
  </si>
  <si>
    <t>IDA SUAIDAH</t>
  </si>
  <si>
    <t>RANDIMAN</t>
  </si>
  <si>
    <t>199421019730</t>
  </si>
  <si>
    <t>101 - BANDUNG - AYU</t>
  </si>
  <si>
    <t>04005435400</t>
  </si>
  <si>
    <t>?</t>
  </si>
  <si>
    <t>08012661900</t>
  </si>
  <si>
    <t>NURAENI</t>
  </si>
  <si>
    <t>101 - BANDUNG - AAN</t>
  </si>
  <si>
    <t>08004857700</t>
  </si>
  <si>
    <t>DUDDY R. DEWAYANA</t>
  </si>
  <si>
    <t>NETTI HERIATI</t>
  </si>
  <si>
    <t>MAMAN</t>
  </si>
  <si>
    <t>BUNYAMIN RAIS DRS,MM</t>
  </si>
  <si>
    <t>LILIS LISWARA</t>
  </si>
  <si>
    <t>YOYON MULYANA</t>
  </si>
  <si>
    <t>01009503500</t>
  </si>
  <si>
    <t>SAID - 01009503500</t>
  </si>
  <si>
    <t>EUIS RUKAESIH</t>
  </si>
  <si>
    <t>SITI MARYATI</t>
  </si>
  <si>
    <t>RACHMAWATI</t>
  </si>
  <si>
    <t>YANI HERDIANI</t>
  </si>
  <si>
    <t>ANIISA</t>
  </si>
  <si>
    <t>SUNIAH</t>
  </si>
  <si>
    <t>E. KOMYATI</t>
  </si>
  <si>
    <t>KARYATI</t>
  </si>
  <si>
    <t>JAMIATUN</t>
  </si>
  <si>
    <t>WAWAN SUHERMAWAN</t>
  </si>
  <si>
    <t>SITI SAHARA</t>
  </si>
  <si>
    <t>DANA HASANUDIN</t>
  </si>
  <si>
    <t>MUSIRUN</t>
  </si>
  <si>
    <t>DEDE SUWARDI</t>
  </si>
  <si>
    <t>LILIS DAHLIATY</t>
  </si>
  <si>
    <t>SUAD</t>
  </si>
  <si>
    <t>RUKHIYAT</t>
  </si>
  <si>
    <t>SURTIATUN</t>
  </si>
  <si>
    <t>ACENG ROSIDIN</t>
  </si>
  <si>
    <t>NURHALIM</t>
  </si>
  <si>
    <t>NURIAH</t>
  </si>
  <si>
    <t>DAJA</t>
  </si>
  <si>
    <t>OPING</t>
  </si>
  <si>
    <t>SARIDJAH</t>
  </si>
  <si>
    <t>SITI KUSTIANI</t>
  </si>
  <si>
    <t>SURYATMAN RAKHMAT</t>
  </si>
  <si>
    <t>MULYANTO</t>
  </si>
  <si>
    <t>YUYUN SUWACHYU</t>
  </si>
  <si>
    <t>MOH SOLIHIN</t>
  </si>
  <si>
    <t>TITIN SUHARTINI</t>
  </si>
  <si>
    <t>WARTI</t>
  </si>
  <si>
    <t>SURATMAN</t>
  </si>
  <si>
    <t>DEDE UDIN SOMADILAGA</t>
  </si>
  <si>
    <t>SYAMSUDIN</t>
  </si>
  <si>
    <t>EUIS ILAH</t>
  </si>
  <si>
    <t>EDAH JUBAEDAH</t>
  </si>
  <si>
    <t>KURNIADI</t>
  </si>
  <si>
    <t>SARSIH</t>
  </si>
  <si>
    <t>ATI ROHAETI</t>
  </si>
  <si>
    <t>DIFA</t>
  </si>
  <si>
    <t>ROCHAYATI</t>
  </si>
  <si>
    <t>SOPYAN</t>
  </si>
  <si>
    <t>MAULANA SUPRIHATIN</t>
  </si>
  <si>
    <t>SRI SAESTUYANI TATIK</t>
  </si>
  <si>
    <t>AMIN BUNYAMIN</t>
  </si>
  <si>
    <t>SUHARTONO</t>
  </si>
  <si>
    <t>ADE RUSYANA</t>
  </si>
  <si>
    <t>RACHMAT HIDAYAT</t>
  </si>
  <si>
    <t>MOCH ENUH</t>
  </si>
  <si>
    <t>SUKINA</t>
  </si>
  <si>
    <t>NURLELA</t>
  </si>
  <si>
    <t>EVA REVAIN BORU ARITONANG</t>
  </si>
  <si>
    <t>CAHYA NURWATY</t>
  </si>
  <si>
    <t>TATANG SADIKIN</t>
  </si>
  <si>
    <t>NUNUNG NURHASANAH</t>
  </si>
  <si>
    <t>RATIMAH</t>
  </si>
  <si>
    <t>DJUARNA</t>
  </si>
  <si>
    <t>ETI</t>
  </si>
  <si>
    <t>UUM SUMIARSIH</t>
  </si>
  <si>
    <t>AGUS RIYANTO</t>
  </si>
  <si>
    <t>FIRDA</t>
  </si>
  <si>
    <t>HENDI SUDARSO</t>
  </si>
  <si>
    <t>DJANA</t>
  </si>
  <si>
    <t>ADE SUNENGSIH</t>
  </si>
  <si>
    <t>MARIAH</t>
  </si>
  <si>
    <t>TIKTIK SRIYANTI</t>
  </si>
  <si>
    <t>CECEP SUNARYA</t>
  </si>
  <si>
    <t>ADE RUSPANDI</t>
  </si>
  <si>
    <t>DEDI PERMANA</t>
  </si>
  <si>
    <t>SASMITA</t>
  </si>
  <si>
    <t>INTAN</t>
  </si>
  <si>
    <t>TATY SUMIATY</t>
  </si>
  <si>
    <t>NINING SUTIANI</t>
  </si>
  <si>
    <t>EUIS SADIAH</t>
  </si>
  <si>
    <t>ULI/AYU</t>
  </si>
  <si>
    <t>AHMADI</t>
  </si>
  <si>
    <t>48006547700</t>
  </si>
  <si>
    <t>LILIS MARLINA</t>
  </si>
  <si>
    <t>WAHYUDIN AHMAD SAEHU</t>
  </si>
  <si>
    <t>TATI ROHAETI</t>
  </si>
  <si>
    <t>TJETJE</t>
  </si>
  <si>
    <t>DRA. SRI SUDARWATI</t>
  </si>
  <si>
    <t>H. MACHRUB FIRMAN</t>
  </si>
  <si>
    <t>MUIS SAFI'I</t>
  </si>
  <si>
    <t>ADE SURYANA</t>
  </si>
  <si>
    <t>TABRI</t>
  </si>
  <si>
    <t>SUDJONO</t>
  </si>
  <si>
    <t>NO DAPEM</t>
  </si>
  <si>
    <t>WARTONO</t>
  </si>
  <si>
    <t>A Y HIDAYAT</t>
  </si>
  <si>
    <t>KURAERAH</t>
  </si>
  <si>
    <t>DRS. H. DANI HERDIANA. M. SI</t>
  </si>
  <si>
    <t>DRS. DEDDY HERYADI</t>
  </si>
  <si>
    <t>SITI ROHAYATI</t>
  </si>
  <si>
    <t>DRS ERWIN HARTONO</t>
  </si>
  <si>
    <t>RAPINGAH</t>
  </si>
  <si>
    <t>HENI HERMINAH</t>
  </si>
  <si>
    <t>ODIN KUSNADI</t>
  </si>
  <si>
    <t>KOMAR HIDAYAT</t>
  </si>
  <si>
    <t>DJONI MOKOAGOW MAMONTO</t>
  </si>
  <si>
    <t>YANTO</t>
  </si>
  <si>
    <t>TITI</t>
  </si>
  <si>
    <t>SAFWANI</t>
  </si>
  <si>
    <t>SUHARMAN</t>
  </si>
  <si>
    <t>NANA SUARNA</t>
  </si>
  <si>
    <t>48005539700</t>
  </si>
  <si>
    <t>SUGIYANTO - 48005539700</t>
  </si>
  <si>
    <t>SUHERI</t>
  </si>
  <si>
    <t>REFDINAR</t>
  </si>
  <si>
    <t>IPAH SARIPAH</t>
  </si>
  <si>
    <t>IWANNUDIN</t>
  </si>
  <si>
    <t>DRS EDWIN SUTRISNO</t>
  </si>
  <si>
    <t>ACE KOSWARA</t>
  </si>
  <si>
    <t>M.A KOHARUDIN</t>
  </si>
  <si>
    <t>SITI ROCHMAH</t>
  </si>
  <si>
    <t>MEMED</t>
  </si>
  <si>
    <t>ATIK SUWARNI</t>
  </si>
  <si>
    <t>SYIHABUDIN</t>
  </si>
  <si>
    <t>MULYONO KOMARUDIN</t>
  </si>
  <si>
    <t>NANI SURYANI</t>
  </si>
  <si>
    <t>KUSNAEDI</t>
  </si>
  <si>
    <t>DIFA / KASIM</t>
  </si>
  <si>
    <t>DEDI SUPRIATNA</t>
  </si>
  <si>
    <t>UKAY SUKARWAN TARSIMAN</t>
  </si>
  <si>
    <t>CACA SUCAHYA</t>
  </si>
  <si>
    <t>UNTUNG SANTOSO</t>
  </si>
  <si>
    <t>UMAR NISMAYA</t>
  </si>
  <si>
    <t>DRS TAUFIK QURAKHMAN MM</t>
  </si>
  <si>
    <t>PURYANTO</t>
  </si>
  <si>
    <t>BAMBANG IRAWAN</t>
  </si>
  <si>
    <t>HERI SETIAWAN</t>
  </si>
  <si>
    <t>TITIN AMIATIN</t>
  </si>
  <si>
    <t>PONIJAN</t>
  </si>
  <si>
    <t>HENDI IRAWAN</t>
  </si>
  <si>
    <t>HENDRO</t>
  </si>
  <si>
    <t>BAMBANG SUDIHARTO</t>
  </si>
  <si>
    <t>KARSIM</t>
  </si>
  <si>
    <t>E SUHAEDAH</t>
  </si>
  <si>
    <t>KUSNADI</t>
  </si>
  <si>
    <t>KARIM</t>
  </si>
  <si>
    <t>ROHANA ZAIN</t>
  </si>
  <si>
    <t>RACHMAT</t>
  </si>
  <si>
    <t>TAGIH SEADANYA</t>
  </si>
  <si>
    <t>MUHAMADSYAH</t>
  </si>
  <si>
    <t>ENCENG KARNA</t>
  </si>
  <si>
    <t>WIWI WARTINI HJ</t>
  </si>
  <si>
    <t>TITIN PATIMAH</t>
  </si>
  <si>
    <t>ELLYH SITI KOERLIASIH</t>
  </si>
  <si>
    <t>NENENG HASANAH</t>
  </si>
  <si>
    <t>SITI AISAH</t>
  </si>
  <si>
    <t>YAYAT KUSMIYATI</t>
  </si>
  <si>
    <t>LINDA MELINDA</t>
  </si>
  <si>
    <t>ISYAF SYAFRUDIN</t>
  </si>
  <si>
    <t>SULISTIYONO</t>
  </si>
  <si>
    <t>DIDOH</t>
  </si>
  <si>
    <t>ALI SUKARDI</t>
  </si>
  <si>
    <t>SUPARLAN</t>
  </si>
  <si>
    <t>HARUN</t>
  </si>
  <si>
    <t>KUSNADI SUHERLAN</t>
  </si>
  <si>
    <t>IDAH PARIDAH</t>
  </si>
  <si>
    <t>YOYO SUHERMAN</t>
  </si>
  <si>
    <t>ADANG S. ARDIANSYAH</t>
  </si>
  <si>
    <t>EDDY IRIANTO</t>
  </si>
  <si>
    <t>SUTIMAN</t>
  </si>
  <si>
    <t>DONI</t>
  </si>
  <si>
    <t>ROPII IDRIS</t>
  </si>
  <si>
    <t>SUHAETI</t>
  </si>
  <si>
    <t>SUSILOWATI</t>
  </si>
  <si>
    <t>DEDI RUSTANDI</t>
  </si>
  <si>
    <t>BENI RIYANTO</t>
  </si>
  <si>
    <t>ASEP SUBDARUSMAN</t>
  </si>
  <si>
    <t>NUR KOLIS</t>
  </si>
  <si>
    <t>ENUNG NURAESIN</t>
  </si>
  <si>
    <t>PAIRAN</t>
  </si>
  <si>
    <t>EMIS SUPARJADI</t>
  </si>
  <si>
    <t>HASAN BASRI</t>
  </si>
  <si>
    <t>BUNYAMIN</t>
  </si>
  <si>
    <t>N SUMIATI</t>
  </si>
  <si>
    <t>TOHA</t>
  </si>
  <si>
    <t>SRI YUNIARSIH</t>
  </si>
  <si>
    <t>KANTI ASIH</t>
  </si>
  <si>
    <t>SITI AKBARI</t>
  </si>
  <si>
    <t>SADIKIN</t>
  </si>
  <si>
    <t>PIPIH DIAH PUSPITA</t>
  </si>
  <si>
    <t>DIDAH HODIJAH</t>
  </si>
  <si>
    <t>FAUZIAH</t>
  </si>
  <si>
    <t>NENI SUTINAH</t>
  </si>
  <si>
    <t>WIWIN WINARSIH</t>
  </si>
  <si>
    <t>MUJI HARTONO</t>
  </si>
  <si>
    <t>2 FAS</t>
  </si>
  <si>
    <t>DEWI SULASAH</t>
  </si>
  <si>
    <t>SRI WAHYUTI</t>
  </si>
  <si>
    <t>SURATIH</t>
  </si>
  <si>
    <t>DIAN ELLYATI</t>
  </si>
  <si>
    <t>SUPARTINI</t>
  </si>
  <si>
    <t>SRIYANI</t>
  </si>
  <si>
    <t>DIFA (MALANG)</t>
  </si>
  <si>
    <t>DEDI DIPTA PRATHAMA</t>
  </si>
  <si>
    <t>ENCUT SUTIHAT</t>
  </si>
  <si>
    <t>DIFA/RESTI</t>
  </si>
  <si>
    <t>ETY ARYANTI</t>
  </si>
  <si>
    <t>SUCILAH</t>
  </si>
  <si>
    <t>HAERUDIN SAMIAN</t>
  </si>
  <si>
    <t>IWAN / SENIATI</t>
  </si>
  <si>
    <t>TIMU DIDI YUDISTIRA</t>
  </si>
  <si>
    <t>FARIDA, BA</t>
  </si>
  <si>
    <t>AYU/ULI</t>
  </si>
  <si>
    <t>NUR CHASANAH</t>
  </si>
  <si>
    <t>NYI HORI</t>
  </si>
  <si>
    <t>SITI ROBIAH</t>
  </si>
  <si>
    <t>HAMID</t>
  </si>
  <si>
    <t>MAMAN SUDIRMAN</t>
  </si>
  <si>
    <t>NARJAYA</t>
  </si>
  <si>
    <t>DAYAT</t>
  </si>
  <si>
    <t>ASNI</t>
  </si>
  <si>
    <t>ADUNG</t>
  </si>
  <si>
    <t>ENOK ARNESAH</t>
  </si>
  <si>
    <t>NANA SUJANA</t>
  </si>
  <si>
    <t>DRS.EC INDRAKSA</t>
  </si>
  <si>
    <t>Mariyam</t>
  </si>
  <si>
    <t>DUDUNG SANJAYA</t>
  </si>
  <si>
    <t>JANNUR NASUTION</t>
  </si>
  <si>
    <t>ENDANG PURWAGANDA</t>
  </si>
  <si>
    <t>SUPRIYANTO</t>
  </si>
  <si>
    <t>CUCU H MANSUR</t>
  </si>
  <si>
    <t>LILI NURNALIWATI</t>
  </si>
  <si>
    <t>HATTA REBUDIN</t>
  </si>
  <si>
    <t>RITA ROSPITAWATI</t>
  </si>
  <si>
    <t>YAYAT HIDAYAT</t>
  </si>
  <si>
    <t>DIFA / HENDRA</t>
  </si>
  <si>
    <t>SUMARTO, DRS</t>
  </si>
  <si>
    <t>SATURI</t>
  </si>
  <si>
    <t>ENCUN SETIAWATI</t>
  </si>
  <si>
    <t>Muji Hartono S.Sos.M.AP (FAS II)</t>
  </si>
  <si>
    <t>GAB FAS 1</t>
  </si>
  <si>
    <t>MAMAN FIRMANSYAH</t>
  </si>
  <si>
    <t>PUSPO WIDOYO</t>
  </si>
  <si>
    <t>SUGIANTI</t>
  </si>
  <si>
    <t>YAYAH SADARIYAH</t>
  </si>
  <si>
    <t>Sutariah</t>
  </si>
  <si>
    <t>ENJANG K</t>
  </si>
  <si>
    <t>DADANG JUANDA</t>
  </si>
  <si>
    <t>SUHANDI</t>
  </si>
  <si>
    <t>TEDDY SARYADI</t>
  </si>
  <si>
    <t>A SYAMSUDIN</t>
  </si>
  <si>
    <t>TOTO SUCIPTO</t>
  </si>
  <si>
    <t>Nanang</t>
  </si>
  <si>
    <t>UDIN</t>
  </si>
  <si>
    <t>DIFA / CUCU</t>
  </si>
  <si>
    <t>PUSPA SUWANDA</t>
  </si>
  <si>
    <t>ETI SETIAWATI</t>
  </si>
  <si>
    <t>SOPIAH</t>
  </si>
  <si>
    <t>ANGGA ILHAM ROBBANI</t>
  </si>
  <si>
    <t>NENENG RATNENGSIH</t>
  </si>
  <si>
    <t>CUCU / FIRMAN</t>
  </si>
  <si>
    <t>ANWARI</t>
  </si>
  <si>
    <t>RAHMAN NASER</t>
  </si>
  <si>
    <t>MOMON SUPIANDI</t>
  </si>
  <si>
    <t>RESTU WIJAYADI</t>
  </si>
  <si>
    <t>ASEP SAEPULOH</t>
  </si>
  <si>
    <t>13064131700</t>
  </si>
  <si>
    <t>YETI KUSWATI</t>
  </si>
  <si>
    <t>WANA RUSDIANA</t>
  </si>
  <si>
    <t>ARIFIN</t>
  </si>
  <si>
    <t>13071655200</t>
  </si>
  <si>
    <t>TARMIZI</t>
  </si>
  <si>
    <t>DIFA/ AO RENO</t>
  </si>
  <si>
    <t>MAMAN SUPARMAN</t>
  </si>
  <si>
    <t>SITI MARYANI</t>
  </si>
  <si>
    <t>EDI SUTIADIJAYA</t>
  </si>
  <si>
    <t>NANANG/HARIS</t>
  </si>
  <si>
    <t>NANA SUKARDI</t>
  </si>
  <si>
    <t>ACHMAD SOLEH</t>
  </si>
  <si>
    <t>13072249100</t>
  </si>
  <si>
    <t>Entin Agustini</t>
  </si>
  <si>
    <t>15023875300</t>
  </si>
  <si>
    <t>SAID - 15023875300</t>
  </si>
  <si>
    <t>D5300566350</t>
  </si>
  <si>
    <t>NAPSIAH</t>
  </si>
  <si>
    <t>48009829000</t>
  </si>
  <si>
    <t>DEDI HIDAYAT</t>
  </si>
  <si>
    <t>AYU / &gt; CUCU</t>
  </si>
  <si>
    <t>48015202300</t>
  </si>
  <si>
    <t>UJANG MAMAT</t>
  </si>
  <si>
    <t>13115519200</t>
  </si>
  <si>
    <t>SRI ENDAH ROHENDAH</t>
  </si>
  <si>
    <t>&gt; AYU / CUCU</t>
  </si>
  <si>
    <t>D5300374720</t>
  </si>
  <si>
    <t>RUSILAH</t>
  </si>
  <si>
    <t>196408111983031000 / 04004503300</t>
  </si>
  <si>
    <t>TEJABRATA, SH</t>
  </si>
  <si>
    <t>15023460700</t>
  </si>
  <si>
    <t>SUPARMAN S. HI</t>
  </si>
  <si>
    <t>199414037490</t>
  </si>
  <si>
    <t>DEDDY ARDI SUKARMAN</t>
  </si>
  <si>
    <t>DIFA / HENDRA EDI</t>
  </si>
  <si>
    <t>13095131500</t>
  </si>
  <si>
    <t>AI HARTINI SUMARDI</t>
  </si>
  <si>
    <t>48009645500</t>
  </si>
  <si>
    <t>DEDE SARLIM</t>
  </si>
  <si>
    <t>BC235706122018</t>
  </si>
  <si>
    <t>KURNIA LUKMAN</t>
  </si>
  <si>
    <t>13160326700</t>
  </si>
  <si>
    <t>SUMIATI - 13160326700</t>
  </si>
  <si>
    <t>201024009820</t>
  </si>
  <si>
    <t>SUSILAWATI - 201024009820</t>
  </si>
  <si>
    <t>S5300153450</t>
  </si>
  <si>
    <t>RATI ROHAETI</t>
  </si>
  <si>
    <t>07001169300</t>
  </si>
  <si>
    <t>WAWAN SETIAWAN</t>
  </si>
  <si>
    <t>NANANG / HARIS</t>
  </si>
  <si>
    <t>48005194100</t>
  </si>
  <si>
    <t>ASNITI</t>
  </si>
  <si>
    <t>13116631300</t>
  </si>
  <si>
    <t>Endar Sukandar</t>
  </si>
  <si>
    <t>HENDRA EDI</t>
  </si>
  <si>
    <t>13107841200</t>
  </si>
  <si>
    <t>NELI MULYANI</t>
  </si>
  <si>
    <t>DIFA / ANDRIAN</t>
  </si>
  <si>
    <t>08007016200</t>
  </si>
  <si>
    <t>SUGIYANTO</t>
  </si>
  <si>
    <t>AGUS P</t>
  </si>
  <si>
    <t>15022712700</t>
  </si>
  <si>
    <t>WASMAT</t>
  </si>
  <si>
    <t>500078389</t>
  </si>
  <si>
    <t>YASIN</t>
  </si>
  <si>
    <t>MUFID</t>
  </si>
  <si>
    <t>48011492500</t>
  </si>
  <si>
    <t>SUNTOYO</t>
  </si>
  <si>
    <t>13056201900</t>
  </si>
  <si>
    <t>ENUNG KURNIA</t>
  </si>
  <si>
    <t>DIFA / ASEP DEDI</t>
  </si>
  <si>
    <t>13095726900</t>
  </si>
  <si>
    <t>RAHMAT GUMERAH S.pd</t>
  </si>
  <si>
    <t>DIFA / HENDRA (sumedang)</t>
  </si>
  <si>
    <t>12008245300</t>
  </si>
  <si>
    <t>ALISOHA MUSTOPA</t>
  </si>
  <si>
    <t>201311075810</t>
  </si>
  <si>
    <t>HAFIZUDIN</t>
  </si>
  <si>
    <t>010 - CIANJUR - ALDI</t>
  </si>
  <si>
    <t>01017268800</t>
  </si>
  <si>
    <t>ISBIYANTI</t>
  </si>
  <si>
    <t>018 - TEGAL - DIFA / MUFID</t>
  </si>
  <si>
    <t>13118323800</t>
  </si>
  <si>
    <t>KUSRIYATI</t>
  </si>
  <si>
    <t>62002745200</t>
  </si>
  <si>
    <t>WELLEM A OTTEMOESOE</t>
  </si>
  <si>
    <t>701-KUPANG - YANTI CAROLINE</t>
  </si>
  <si>
    <t>13122308600</t>
  </si>
  <si>
    <t>BLANDINA AGUSTINA PELLONDOU</t>
  </si>
  <si>
    <t>701 - KUPANG - YANTI CAROLINE</t>
  </si>
  <si>
    <t>201311102740</t>
  </si>
  <si>
    <t>SUPRAYONO</t>
  </si>
  <si>
    <t>202-TEGAL - MUFID</t>
  </si>
  <si>
    <t>38004353100</t>
  </si>
  <si>
    <t>EMAN</t>
  </si>
  <si>
    <t>103-SUBANG - DIFA / CUCU</t>
  </si>
  <si>
    <t>13072284800</t>
  </si>
  <si>
    <t>SUNARYA - 13072284800</t>
  </si>
  <si>
    <t>13073525200</t>
  </si>
  <si>
    <t>ADAM CHOLIM</t>
  </si>
  <si>
    <t>202 - TEGAL - MUFID</t>
  </si>
  <si>
    <t>51004351500</t>
  </si>
  <si>
    <t>NGATIMU</t>
  </si>
  <si>
    <t>301-SURABAYA - IPONG</t>
  </si>
  <si>
    <t>13160392000</t>
  </si>
  <si>
    <t>ABDUL KODIR</t>
  </si>
  <si>
    <t>112 - GARUT - DIFA / ANDRIAN</t>
  </si>
  <si>
    <t>12010476200</t>
  </si>
  <si>
    <t>Dahlan</t>
  </si>
  <si>
    <t>202 - Tegal - Mufid</t>
  </si>
  <si>
    <t>04005510600</t>
  </si>
  <si>
    <t>13118295100</t>
  </si>
  <si>
    <t>SULEMAN R</t>
  </si>
  <si>
    <t>13137924900</t>
  </si>
  <si>
    <t>MOH SUDONO</t>
  </si>
  <si>
    <t>13120029800</t>
  </si>
  <si>
    <t>SITI KHOYUMIYAH</t>
  </si>
  <si>
    <t>13075137600</t>
  </si>
  <si>
    <t>NIRWANA RAJA PADMI</t>
  </si>
  <si>
    <t>5101217400</t>
  </si>
  <si>
    <t>MISKI</t>
  </si>
  <si>
    <t>13140534500</t>
  </si>
  <si>
    <t>SLAMET RIADI</t>
  </si>
  <si>
    <t>13065953700</t>
  </si>
  <si>
    <t>SUPARNI</t>
  </si>
  <si>
    <t>13047852000</t>
  </si>
  <si>
    <t>SUPARTINI - 13047852000</t>
  </si>
  <si>
    <t>105 - CIANJUR - ALDI</t>
  </si>
  <si>
    <t>13087912500</t>
  </si>
  <si>
    <t>DADAH MULYADI</t>
  </si>
  <si>
    <t>01020220200</t>
  </si>
  <si>
    <t>MULYANI</t>
  </si>
  <si>
    <t>106-CIREBON - RATIH</t>
  </si>
  <si>
    <t>201614088100</t>
  </si>
  <si>
    <t>DRS YAYAN SURYANA SH SE</t>
  </si>
  <si>
    <t>01016856100</t>
  </si>
  <si>
    <t>INACIO DA COSTA MAU</t>
  </si>
  <si>
    <t>701-KUPANG - YANTI</t>
  </si>
  <si>
    <t>BE463517111180</t>
  </si>
  <si>
    <t>BUDI SANTOSO</t>
  </si>
  <si>
    <t>tbc</t>
  </si>
  <si>
    <t>13166887800</t>
  </si>
  <si>
    <t>ENO</t>
  </si>
  <si>
    <t>13167958100</t>
  </si>
  <si>
    <t>YONATAS NABEN</t>
  </si>
  <si>
    <t>701 - KUPANG - YANTI</t>
  </si>
  <si>
    <t>MOH. ARIFIN</t>
  </si>
  <si>
    <t>13119646900</t>
  </si>
  <si>
    <t>SUDIARTIK</t>
  </si>
  <si>
    <t>MUJIONO</t>
  </si>
  <si>
    <t>STEFANUS NONO TALU</t>
  </si>
  <si>
    <t>08002957600</t>
  </si>
  <si>
    <t>TUTI GUSANTINI</t>
  </si>
  <si>
    <t>102-SUMEDANG - DIFA / HENDRA</t>
  </si>
  <si>
    <t>13076959700</t>
  </si>
  <si>
    <t>AYI RAHMATULLAH</t>
  </si>
  <si>
    <t>13056645300</t>
  </si>
  <si>
    <t>DEDE ELAWATI</t>
  </si>
  <si>
    <t>102 - SUMEDANG - DIFA / HENDRA EDI</t>
  </si>
  <si>
    <t>13116482700</t>
  </si>
  <si>
    <t>DAYAT ROHAYANI</t>
  </si>
  <si>
    <t>23002349800</t>
  </si>
  <si>
    <t>POPON MARLIAH</t>
  </si>
  <si>
    <t>001 - BANDUNG RAYA - AAN</t>
  </si>
  <si>
    <t>13061728500</t>
  </si>
  <si>
    <t>OHIR S</t>
  </si>
  <si>
    <t>13056184000</t>
  </si>
  <si>
    <t>107-MAJALENGKA - RIKA</t>
  </si>
  <si>
    <t>13102419300</t>
  </si>
  <si>
    <t>IBAN SOBANDI</t>
  </si>
  <si>
    <t>12009324700</t>
  </si>
  <si>
    <t>ASEP SYAEFUDIN</t>
  </si>
  <si>
    <t>48014950200</t>
  </si>
  <si>
    <t>NANA KARNA</t>
  </si>
  <si>
    <t>102-SUMEDANG - DIFA / HENDRA EDI</t>
  </si>
  <si>
    <t>13204969800</t>
  </si>
  <si>
    <t>E WAHYUDIN</t>
  </si>
  <si>
    <t>13056634400</t>
  </si>
  <si>
    <t>OMAN SATRIMAN</t>
  </si>
  <si>
    <t>14010231300</t>
  </si>
  <si>
    <t>ATIH KURLIANINGSIH</t>
  </si>
  <si>
    <t>112 - GARUT - DIFA - ANDRIAN</t>
  </si>
  <si>
    <t>48008321800</t>
  </si>
  <si>
    <t>JAENUDIN</t>
  </si>
  <si>
    <t>105-CIANJUR - ALDI</t>
  </si>
  <si>
    <t>13064318800</t>
  </si>
  <si>
    <t>DEDENG MOHAMAD RESMANA</t>
  </si>
  <si>
    <t>8004405500</t>
  </si>
  <si>
    <t>13164494200</t>
  </si>
  <si>
    <t>201221019200</t>
  </si>
  <si>
    <t>DARYANTI</t>
  </si>
  <si>
    <t>13064265900</t>
  </si>
  <si>
    <t>ANGKIK MURDIATNY</t>
  </si>
  <si>
    <t>101-BANDUNG - AAN</t>
  </si>
  <si>
    <t>201311079660</t>
  </si>
  <si>
    <t>CUMYANA</t>
  </si>
  <si>
    <t>001 - BANDUNG RAYA - ALDI</t>
  </si>
  <si>
    <t>BD311236121046</t>
  </si>
  <si>
    <t>401-SERANG - DIFA / SENIATI</t>
  </si>
  <si>
    <t>EE302062121263</t>
  </si>
  <si>
    <t>RITA ROSMAWATI</t>
  </si>
  <si>
    <t>48008382500</t>
  </si>
  <si>
    <t>SUKARDI</t>
  </si>
  <si>
    <t>105-CIANJUR -TAUPIK</t>
  </si>
  <si>
    <t>04004698300</t>
  </si>
  <si>
    <t>JAJA WIHARJA</t>
  </si>
  <si>
    <t>48004076600</t>
  </si>
  <si>
    <t>NYAI SOPIYAH</t>
  </si>
  <si>
    <t>201311082530</t>
  </si>
  <si>
    <t>RELAWATI</t>
  </si>
  <si>
    <t>106-CIREBON - RIKA</t>
  </si>
  <si>
    <t>12009237200</t>
  </si>
  <si>
    <t>112 - GARUT - RICKY / ANDRIAN</t>
  </si>
  <si>
    <t>13059333900</t>
  </si>
  <si>
    <t>MUHAMAD ERDIANI</t>
  </si>
  <si>
    <t>602-BANJARMASIN - M ADANI</t>
  </si>
  <si>
    <t>71001604900</t>
  </si>
  <si>
    <t>13184987000</t>
  </si>
  <si>
    <t>ASEP MULYA SUNJANA</t>
  </si>
  <si>
    <t>102 - SUMEDANG - HENDRA EDI</t>
  </si>
  <si>
    <t xml:space="preserve">48006809200 </t>
  </si>
  <si>
    <t>201011058860</t>
  </si>
  <si>
    <t>A. SUKANDAR</t>
  </si>
  <si>
    <t>13107848700</t>
  </si>
  <si>
    <t>ECIN NURSARI</t>
  </si>
  <si>
    <t xml:space="preserve"> 112 - GARUT -  ADRIAN</t>
  </si>
  <si>
    <t xml:space="preserve">13045228800 </t>
  </si>
  <si>
    <t>14011188100</t>
  </si>
  <si>
    <t>13041636000</t>
  </si>
  <si>
    <t>AAN MULYADI</t>
  </si>
  <si>
    <t>11004701600</t>
  </si>
  <si>
    <t>APONG SUKANA</t>
  </si>
  <si>
    <t>200211031440</t>
  </si>
  <si>
    <t>ATANG</t>
  </si>
  <si>
    <t>13107737600</t>
  </si>
  <si>
    <t>IA KURNIA</t>
  </si>
  <si>
    <t>ED345786111116</t>
  </si>
  <si>
    <t>107 - MAJALENGKA - RIKA</t>
  </si>
  <si>
    <t xml:space="preserve">62002535000 </t>
  </si>
  <si>
    <t>RUBEN HEDA</t>
  </si>
  <si>
    <t>13094918300</t>
  </si>
  <si>
    <t>DEDEN SADELI</t>
  </si>
  <si>
    <t>13090471700</t>
  </si>
  <si>
    <t>TALIB</t>
  </si>
  <si>
    <t xml:space="preserve">20051253588 </t>
  </si>
  <si>
    <t>LEWA LEONARDUS</t>
  </si>
  <si>
    <t>62004916100</t>
  </si>
  <si>
    <t>NITANEL TALOIM</t>
  </si>
  <si>
    <t xml:space="preserve">47006646000 </t>
  </si>
  <si>
    <t>ROSA PANCA PUTRA</t>
  </si>
  <si>
    <t>402 - TANGERANG - MULYADI</t>
  </si>
  <si>
    <t>BY125692111034</t>
  </si>
  <si>
    <t>ELIYANTI MIRAINI</t>
  </si>
  <si>
    <t>13102075200</t>
  </si>
  <si>
    <t>CUCU WIDYANINGSIH</t>
  </si>
  <si>
    <t xml:space="preserve">101 - BANDUNG - AYU </t>
  </si>
  <si>
    <t xml:space="preserve">13112583200 </t>
  </si>
  <si>
    <t xml:space="preserve">110004265700 </t>
  </si>
  <si>
    <t>PAIJAN</t>
  </si>
  <si>
    <t>13201041600</t>
  </si>
  <si>
    <t>JAJANG BUCHARI</t>
  </si>
  <si>
    <t>JOHAN WIGUNA</t>
  </si>
  <si>
    <t>201611026420</t>
  </si>
  <si>
    <t>HANNY HARYATI</t>
  </si>
  <si>
    <t>101 - BANDUNG - AYU / ULI</t>
  </si>
  <si>
    <t>BE479066111223</t>
  </si>
  <si>
    <t>DIDIN HASANUDIN</t>
  </si>
  <si>
    <t>48011185700</t>
  </si>
  <si>
    <t>ETI NURHAYATI</t>
  </si>
  <si>
    <t>103 - SUBANG - CUCU H MANSUR</t>
  </si>
  <si>
    <t>WAHYU SRIPENI - Fas II</t>
  </si>
  <si>
    <t>13094896400</t>
  </si>
  <si>
    <t>SUKIRMAN</t>
  </si>
  <si>
    <t>106 - CIREBON - RATIH</t>
  </si>
  <si>
    <t>14015767900</t>
  </si>
  <si>
    <t>RADEN LINA FEBI NURZULINA</t>
  </si>
  <si>
    <t>102 - SUMEDANG - HENDRA</t>
  </si>
  <si>
    <t>12012045200</t>
  </si>
  <si>
    <t>RAJIDINSYAH</t>
  </si>
  <si>
    <t>602 - BANJARMASIN - RICKY / M. ARDAN</t>
  </si>
  <si>
    <t>13083580400</t>
  </si>
  <si>
    <t>102 - SUMEDANG - SALMA / HENDRA</t>
  </si>
  <si>
    <t xml:space="preserve">200411054440 </t>
  </si>
  <si>
    <t>MARIDJO</t>
  </si>
  <si>
    <t>13117183200</t>
  </si>
  <si>
    <t>DARSIAH</t>
  </si>
  <si>
    <t xml:space="preserve">62001018700 </t>
  </si>
  <si>
    <t>SILVERSTER YOSEF SAKU NAIKTIAS</t>
  </si>
  <si>
    <t>48014691000</t>
  </si>
  <si>
    <t>13101731800</t>
  </si>
  <si>
    <t>PRASETYO HERI PRATIKNO</t>
  </si>
  <si>
    <t xml:space="preserve">12011323300 </t>
  </si>
  <si>
    <t>MOHD. HANAFI</t>
  </si>
  <si>
    <t>602 - BANJARMASIN - LIDYA</t>
  </si>
  <si>
    <t>14026949400</t>
  </si>
  <si>
    <t>SUGANDI</t>
  </si>
  <si>
    <t>107 - MAJALENGKA - RATIH</t>
  </si>
  <si>
    <t>14014944700</t>
  </si>
  <si>
    <t>ELLEN GARUSU</t>
  </si>
  <si>
    <t>801 - MAKASSAR - DASUN - FRONTING MICHAEL</t>
  </si>
  <si>
    <t>13072375600</t>
  </si>
  <si>
    <t>47004617100</t>
  </si>
  <si>
    <t>SUARSIH</t>
  </si>
  <si>
    <t>402 - TANGERANG - MULIYADI</t>
  </si>
  <si>
    <t>13056234500</t>
  </si>
  <si>
    <t>GANDI SUGANDI</t>
  </si>
  <si>
    <t>103 - SUBANG - RICKY / CUCU</t>
  </si>
  <si>
    <t>14018399200</t>
  </si>
  <si>
    <t>TINI TISNOWATI</t>
  </si>
  <si>
    <t>BE469158111067</t>
  </si>
  <si>
    <t>UDJU</t>
  </si>
  <si>
    <t>13187182700</t>
  </si>
  <si>
    <t>RUKMAN</t>
  </si>
  <si>
    <t>14015992900</t>
  </si>
  <si>
    <t>CHR M LUTHER ROBII MASOLEH</t>
  </si>
  <si>
    <t>101 - BANDUNG - MICHAEL LABIAN ( Sulawesi )</t>
  </si>
  <si>
    <t>56001108700</t>
  </si>
  <si>
    <t>HONEKE TOLOLIU</t>
  </si>
  <si>
    <t>101 - BANDUNG - DASUN / FRONTING MICAHEL LABIAN</t>
  </si>
  <si>
    <t>64001563800</t>
  </si>
  <si>
    <t>SONDAKH JAARIE DJONIE</t>
  </si>
  <si>
    <t>802 - MANADO - DASUN / FRONTING MICAHEL LABIAN</t>
  </si>
  <si>
    <t>BX101489111095</t>
  </si>
  <si>
    <t>SRI SULASTRI</t>
  </si>
  <si>
    <t>EE348937111096</t>
  </si>
  <si>
    <t>SISWASA</t>
  </si>
  <si>
    <t>15024873400</t>
  </si>
  <si>
    <t>NENENG FARRIHAH</t>
  </si>
  <si>
    <t xml:space="preserve">13204713200 </t>
  </si>
  <si>
    <t>PAULA CHARLOTTA TEROK</t>
  </si>
  <si>
    <t xml:space="preserve">01012234000 </t>
  </si>
  <si>
    <t>TANOH DALILA</t>
  </si>
  <si>
    <t>101 - BANDUNG - DASUN / MICHAEL LABIAN - fronting</t>
  </si>
  <si>
    <t>13105447900</t>
  </si>
  <si>
    <t>JENNY KUKUS</t>
  </si>
  <si>
    <t>802 - MANADO - DASUN / MIKE - fronting</t>
  </si>
  <si>
    <t xml:space="preserve">13157781900 </t>
  </si>
  <si>
    <t>MASYE ONIBALA</t>
  </si>
  <si>
    <t>01016077800</t>
  </si>
  <si>
    <t>ENDANG SUWANDI</t>
  </si>
  <si>
    <t>13032654400</t>
  </si>
  <si>
    <t>DELFIN AGUSTINA KARUNDENG</t>
  </si>
  <si>
    <t>14022743700</t>
  </si>
  <si>
    <t>LAURA KODONG</t>
  </si>
  <si>
    <t>201311102690</t>
  </si>
  <si>
    <t>14010159100</t>
  </si>
  <si>
    <t>SUWARNI VERONICA</t>
  </si>
  <si>
    <t>201 - SEMARANG - DITA AGLIS / WAHYOTO</t>
  </si>
  <si>
    <t>13174279300</t>
  </si>
  <si>
    <t>JACOB PAULUS MUMBUNAN</t>
  </si>
  <si>
    <t>803 - MANADO - DASUN / MICHAEL LABIAN - fronting</t>
  </si>
  <si>
    <t>13207287700</t>
  </si>
  <si>
    <t>REZY DOORA PANGAU</t>
  </si>
  <si>
    <t>803 - MANADO - RICKY / MICHAEL LABIAN - fronting</t>
  </si>
  <si>
    <t>01014069500</t>
  </si>
  <si>
    <t>13168021400</t>
  </si>
  <si>
    <t>MEIDY MAX MANGARE</t>
  </si>
  <si>
    <t>802 - MANADO - DASUN / MICHAEL LABIAN - fronting</t>
  </si>
  <si>
    <t xml:space="preserve">56001464200 </t>
  </si>
  <si>
    <t>SONNY AGESTO RORING</t>
  </si>
  <si>
    <t>13083260100</t>
  </si>
  <si>
    <t>70000511400</t>
  </si>
  <si>
    <t>INAWATTY RAMLAN</t>
  </si>
  <si>
    <t>13126519000</t>
  </si>
  <si>
    <t>JOSEFIENA TUTUROONG</t>
  </si>
  <si>
    <t>14019556400</t>
  </si>
  <si>
    <t>HJ. ELI SETIAWATI</t>
  </si>
  <si>
    <t xml:space="preserve">23001972300 </t>
  </si>
  <si>
    <t>HIBUL BAHRI</t>
  </si>
  <si>
    <t>401 - SERANG - SENIATI</t>
  </si>
  <si>
    <t>08010709800</t>
  </si>
  <si>
    <t>SURLAN</t>
  </si>
  <si>
    <t>15023636400</t>
  </si>
  <si>
    <t>651124141220010</t>
  </si>
  <si>
    <t>MEITY LYDIA NOVITA KARUNDENG</t>
  </si>
  <si>
    <t>802 - MANADO - DASUN / MICHAEL LABIAN</t>
  </si>
  <si>
    <t>13081728400</t>
  </si>
  <si>
    <t>MOH ASEP BUNGAH</t>
  </si>
  <si>
    <t>01020624500</t>
  </si>
  <si>
    <t>AGUS SUKMAYADI</t>
  </si>
  <si>
    <t>01016371300</t>
  </si>
  <si>
    <t>WISNU RAHARDJO</t>
  </si>
  <si>
    <t>14018039300</t>
  </si>
  <si>
    <t>14011270900</t>
  </si>
  <si>
    <t>HENNY HENDRIETE MANTIRI</t>
  </si>
  <si>
    <t>13116490300</t>
  </si>
  <si>
    <t>ASEP HASANUDIN</t>
  </si>
  <si>
    <t>13039436200</t>
  </si>
  <si>
    <t>HETTY MARGARETHA RUNTUKAHU</t>
  </si>
  <si>
    <t>13200545300</t>
  </si>
  <si>
    <t>RIENTJE RANTUNG</t>
  </si>
  <si>
    <t>13105458900</t>
  </si>
  <si>
    <t>VERNY WOWOR S.PD</t>
  </si>
  <si>
    <t>05005859800</t>
  </si>
  <si>
    <t>RIKO MOSII</t>
  </si>
  <si>
    <t>13056311700</t>
  </si>
  <si>
    <t>KOMALASARI</t>
  </si>
  <si>
    <t>113 - PURWAKARTA - AYU</t>
  </si>
  <si>
    <t>48011670400</t>
  </si>
  <si>
    <t>ENANG SAEPULROHMAT</t>
  </si>
  <si>
    <t>201814019760</t>
  </si>
  <si>
    <t>KARINDUAN MANIKOME</t>
  </si>
  <si>
    <t>802 - MANADO - MICHAEL LABIAN - Fronting</t>
  </si>
  <si>
    <t>201224000620</t>
  </si>
  <si>
    <t>JOULA FIENTJE MANDAGIE</t>
  </si>
  <si>
    <t>101 - BANDUNG - DASUN / MICHAEL LABIAN - Fronting</t>
  </si>
  <si>
    <t>12011714000</t>
  </si>
  <si>
    <t>AGUSTINA TUWAIDAN</t>
  </si>
  <si>
    <t xml:space="preserve"> 802 - MANADO - DASUN / MICHAEL LABIAN - Fronting</t>
  </si>
  <si>
    <t>48009986600</t>
  </si>
  <si>
    <t>DEDEH RUSWATI</t>
  </si>
  <si>
    <t>200321016410</t>
  </si>
  <si>
    <t>AHMID HIDAYAT</t>
  </si>
  <si>
    <t>13072693800</t>
  </si>
  <si>
    <t>DADANG HERMAWAN</t>
  </si>
  <si>
    <t>112 - GARUT - M ADRIAN</t>
  </si>
  <si>
    <t>201411071870</t>
  </si>
  <si>
    <t>EDUARDO VIANA</t>
  </si>
  <si>
    <t xml:space="preserve">701 - KUPANG - YANTI </t>
  </si>
  <si>
    <t>50007039100</t>
  </si>
  <si>
    <t>SRI LESTARI</t>
  </si>
  <si>
    <t>201 - SEMARANG - AGUS</t>
  </si>
  <si>
    <t>04006070700</t>
  </si>
  <si>
    <t>DRS. RAJA ADRIAN MAILLUAS</t>
  </si>
  <si>
    <t>13134196600</t>
  </si>
  <si>
    <t>JOVELIEN SISCA MANTIK</t>
  </si>
  <si>
    <t>13177815000</t>
  </si>
  <si>
    <t>ERYKE DEYTYE KARIO</t>
  </si>
  <si>
    <t>14019174700</t>
  </si>
  <si>
    <t>HELENA DESELINA DJAINAN</t>
  </si>
  <si>
    <t>56001463700</t>
  </si>
  <si>
    <t>ROYHINE FANNY KARUNDENG</t>
  </si>
  <si>
    <t>ED356012111183</t>
  </si>
  <si>
    <t>MAUDY MEIKY TAMPEMAWA</t>
  </si>
  <si>
    <t>13059538700</t>
  </si>
  <si>
    <t>MARCHOW MARTHA KAUNANG</t>
  </si>
  <si>
    <t>201214031760</t>
  </si>
  <si>
    <t>TUGIMAN</t>
  </si>
  <si>
    <t>103 - SUBANG - RICKY - CUCU</t>
  </si>
  <si>
    <t>56001001000</t>
  </si>
  <si>
    <t>TANGKUMAN LEXY</t>
  </si>
  <si>
    <t>650201091220010</t>
  </si>
  <si>
    <t>FENITJE FONY LONDA</t>
  </si>
  <si>
    <t>201614010770</t>
  </si>
  <si>
    <t>TATI HARYATI</t>
  </si>
  <si>
    <t xml:space="preserve">13081907500 </t>
  </si>
  <si>
    <t>13123780900</t>
  </si>
  <si>
    <t>13138523500</t>
  </si>
  <si>
    <t>HANNY KAUNANG</t>
  </si>
  <si>
    <t>802 - MANADO - DASUN /  MICHAEL LABIAN - Fronting</t>
  </si>
  <si>
    <t>15025231200</t>
  </si>
  <si>
    <t>IIS SUHARTI</t>
  </si>
  <si>
    <t xml:space="preserve">101 - BANDUNG - SALMA / ERINA </t>
  </si>
  <si>
    <t>13168798900</t>
  </si>
  <si>
    <t>MARTHA DENGAH</t>
  </si>
  <si>
    <t xml:space="preserve">56001040400 </t>
  </si>
  <si>
    <t>OLGA MERY RUMAMBI</t>
  </si>
  <si>
    <t xml:space="preserve">01006971600 </t>
  </si>
  <si>
    <t>13106212700</t>
  </si>
  <si>
    <t>RATNAWATI</t>
  </si>
  <si>
    <t>801 - MAKASSAR - DASUN / ARDIANSYAH - Fronting</t>
  </si>
  <si>
    <t>09001578300</t>
  </si>
  <si>
    <t>RUSWANDI</t>
  </si>
  <si>
    <t>13178534900</t>
  </si>
  <si>
    <t>DJIBRAEL RATU UDJU</t>
  </si>
  <si>
    <t>48008636900</t>
  </si>
  <si>
    <t>MUCHANDA</t>
  </si>
  <si>
    <t>200811019180</t>
  </si>
  <si>
    <t>08003317800</t>
  </si>
  <si>
    <t>HERJANA</t>
  </si>
  <si>
    <t>14019902600</t>
  </si>
  <si>
    <t>13174277100</t>
  </si>
  <si>
    <t>JULIUS ROBERTH ANDERSON P</t>
  </si>
  <si>
    <t>803 - MANADO - DASUN /  MICHAEL LABIAN - Fronting</t>
  </si>
  <si>
    <t>130643930000</t>
  </si>
  <si>
    <t>MIMIN HARMINI</t>
  </si>
  <si>
    <t>64000466100</t>
  </si>
  <si>
    <t>SARMI MAIT</t>
  </si>
  <si>
    <t>13056371300</t>
  </si>
  <si>
    <t>SUMIATI</t>
  </si>
  <si>
    <t>102 - SUMEDANG - RIKA</t>
  </si>
  <si>
    <t>13169722000</t>
  </si>
  <si>
    <t>ELSJE MASJE SUPIT</t>
  </si>
  <si>
    <t>201514057540</t>
  </si>
  <si>
    <t>SEM YOHANES LONTOKAN</t>
  </si>
  <si>
    <t>01008770000</t>
  </si>
  <si>
    <t>13157834900</t>
  </si>
  <si>
    <t>JETTIE HERMA RINDENGAN</t>
  </si>
  <si>
    <t>13116661800</t>
  </si>
  <si>
    <t>102 - SUMEDANG - AYU</t>
  </si>
  <si>
    <t>13097751000</t>
  </si>
  <si>
    <t>I SENNI</t>
  </si>
  <si>
    <t>807 - SOPPENG (Sulawesi Selatan) / DASUN - fronting</t>
  </si>
  <si>
    <t>13174206800</t>
  </si>
  <si>
    <t>THERESIA PAULA KARAMOY</t>
  </si>
  <si>
    <t>05004769400</t>
  </si>
  <si>
    <t>WARGONDO</t>
  </si>
  <si>
    <t>0804330040</t>
  </si>
  <si>
    <t>DARYANTI - FAS II</t>
  </si>
  <si>
    <t>200811034120</t>
  </si>
  <si>
    <t>3601330605</t>
  </si>
  <si>
    <t>ROSTIANI</t>
  </si>
  <si>
    <t>801 - LUWU - DASUN / ARHY - Fronting</t>
  </si>
  <si>
    <t>ED404313121020</t>
  </si>
  <si>
    <t>3002330240</t>
  </si>
  <si>
    <t>DWI DAMAYANTI</t>
  </si>
  <si>
    <t>106 - CIREBON/KUNINGAN - RIKA</t>
  </si>
  <si>
    <t>651202140910010</t>
  </si>
  <si>
    <t>0921310007</t>
  </si>
  <si>
    <t>OTANG SUPRIADI</t>
  </si>
  <si>
    <t>05004928800</t>
  </si>
  <si>
    <t>3301310606</t>
  </si>
  <si>
    <t>HENGKY JOPIE RAUW</t>
  </si>
  <si>
    <t>803 - MANADO - DASUN / MICHAEL LAPIAN - Fronting</t>
  </si>
  <si>
    <t>13116744400</t>
  </si>
  <si>
    <t>0963310896</t>
  </si>
  <si>
    <t>UDIN SAMSUDIN</t>
  </si>
  <si>
    <t>103 - SUBANG - CUCU</t>
  </si>
  <si>
    <t>13217642800</t>
  </si>
  <si>
    <t>1701312890</t>
  </si>
  <si>
    <t>OLIVA YAMENI</t>
  </si>
  <si>
    <t>13110478200</t>
  </si>
  <si>
    <t>3302310508</t>
  </si>
  <si>
    <t>COSTANSI PANIAT</t>
  </si>
  <si>
    <t>13097416900</t>
  </si>
  <si>
    <t>3302310716</t>
  </si>
  <si>
    <t>JUDITA LINDO</t>
  </si>
  <si>
    <t>EE320847121091</t>
  </si>
  <si>
    <t>3301311558</t>
  </si>
  <si>
    <t xml:space="preserve">MAGRITHA MEIKE SAMPUL </t>
  </si>
  <si>
    <t>56002614800</t>
  </si>
  <si>
    <t>3301313852</t>
  </si>
  <si>
    <t>WILLEM JUNIUS WENUR</t>
  </si>
  <si>
    <t>201614016280</t>
  </si>
  <si>
    <t>3302330507</t>
  </si>
  <si>
    <t>MAX SEGE</t>
  </si>
  <si>
    <t>04003657400</t>
  </si>
  <si>
    <t>3301311528</t>
  </si>
  <si>
    <t>RASID NANGKODA</t>
  </si>
  <si>
    <t>200414015700</t>
  </si>
  <si>
    <t>3361330861</t>
  </si>
  <si>
    <t>JAN ALBERT RAWUNG</t>
  </si>
  <si>
    <t>56001199400</t>
  </si>
  <si>
    <t>3363310225</t>
  </si>
  <si>
    <t>MARIAM JUSUF</t>
  </si>
  <si>
    <t>13136384600</t>
  </si>
  <si>
    <t>2701310199</t>
  </si>
  <si>
    <t>111 - BOGOR - AYU / ENDANG MUTHOLIB</t>
  </si>
  <si>
    <t>14010591800</t>
  </si>
  <si>
    <t>3301300496</t>
  </si>
  <si>
    <t>TREESJE MAGDALENA ALBERTIEN MANDAGI</t>
  </si>
  <si>
    <t>130386400</t>
  </si>
  <si>
    <t>3361310485</t>
  </si>
  <si>
    <t>ENDANG SRI SETYANINGSIH</t>
  </si>
  <si>
    <t>13166006400</t>
  </si>
  <si>
    <t>3302310986</t>
  </si>
  <si>
    <t>JOHNY MANDEY</t>
  </si>
  <si>
    <t>13131662100</t>
  </si>
  <si>
    <t>0931310220</t>
  </si>
  <si>
    <t>ASEP KUSMAYADI</t>
  </si>
  <si>
    <t>13145772300</t>
  </si>
  <si>
    <t>3363310064</t>
  </si>
  <si>
    <t>NONTJE PITOY</t>
  </si>
  <si>
    <t>EE336497111152</t>
  </si>
  <si>
    <t>330135020</t>
  </si>
  <si>
    <t>JERISTON JATAHI</t>
  </si>
  <si>
    <t>201714074330</t>
  </si>
  <si>
    <t>3363330238</t>
  </si>
  <si>
    <t>CAROLINE RAMBING</t>
  </si>
  <si>
    <t>13064369200</t>
  </si>
  <si>
    <t>0931310473</t>
  </si>
  <si>
    <t>EEN SUHAENAH</t>
  </si>
  <si>
    <t>13072440300</t>
  </si>
  <si>
    <t>0962310505</t>
  </si>
  <si>
    <t>AMAT ERAWAN</t>
  </si>
  <si>
    <t>101 - BANDUNG - AYU / HENDRA</t>
  </si>
  <si>
    <t>13164690000</t>
  </si>
  <si>
    <t>0962310970</t>
  </si>
  <si>
    <t>14015955100</t>
  </si>
  <si>
    <t>3302311930</t>
  </si>
  <si>
    <t>RATNA RAHIM</t>
  </si>
  <si>
    <t>660625121210010</t>
  </si>
  <si>
    <t>3301315215</t>
  </si>
  <si>
    <t>DJEFRY LIODE</t>
  </si>
  <si>
    <t>13072441000</t>
  </si>
  <si>
    <t>0962310539</t>
  </si>
  <si>
    <t>DEDE YANI ROSWATI</t>
  </si>
  <si>
    <t>tenor</t>
  </si>
  <si>
    <t>angsuran_ke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</si>
</sst>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dd&quot;&quot;mmm&quot;&quot;yy"/>
    <numFmt numFmtId="166" formatCode="[$-13809]dd/mm/yy;@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mbria"/>
      <family val="1"/>
    </font>
    <font>
      <sz val="9"/>
      <name val="Bahnschrift Light"/>
      <family val="2"/>
    </font>
    <font>
      <b/>
      <u/>
      <sz val="9"/>
      <name val="Bahnschrift Light"/>
      <family val="2"/>
    </font>
    <font>
      <sz val="10"/>
      <color rgb="FF0070C0"/>
      <name val="Cambria"/>
      <family val="1"/>
    </font>
    <font>
      <sz val="10"/>
      <name val="Cambria"/>
      <family val="1"/>
    </font>
    <font>
      <sz val="8"/>
      <name val="Cambria"/>
      <family val="1"/>
    </font>
    <font>
      <sz val="8"/>
      <color theme="1"/>
      <name val="Calibri"/>
      <family val="2"/>
      <scheme val="minor"/>
    </font>
    <font>
      <sz val="8"/>
      <color rgb="FF0070C0"/>
      <name val="Calibri"/>
      <family val="2"/>
      <scheme val="minor"/>
    </font>
    <font>
      <sz val="9"/>
      <color theme="1"/>
      <name val="Bahnschrift Light"/>
      <family val="2"/>
    </font>
    <font>
      <b/>
      <sz val="8"/>
      <name val="Cambria"/>
      <family val="1"/>
    </font>
    <font>
      <b/>
      <sz val="9"/>
      <name val="Bahnschrift Light"/>
      <family val="2"/>
    </font>
    <font>
      <b/>
      <sz val="10"/>
      <color rgb="FF0070C0"/>
      <name val="Cambria"/>
      <family val="1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name val="Bahnschrift Light"/>
      <family val="2"/>
    </font>
    <font>
      <b/>
      <sz val="9"/>
      <color rgb="FF0070C0"/>
      <name val="Bahnschrift Light"/>
      <family val="2"/>
    </font>
    <font>
      <sz val="8"/>
      <name val="Bahnschrift Light"/>
      <family val="2"/>
    </font>
    <font>
      <sz val="11"/>
      <name val="Calibri"/>
      <family val="2"/>
      <scheme val="minor"/>
    </font>
    <font>
      <sz val="9"/>
      <color rgb="FF0070C0"/>
      <name val="Bahnschrift Light"/>
      <family val="2"/>
    </font>
    <font>
      <sz val="8"/>
      <color theme="1"/>
      <name val="Bahnschrift Light"/>
      <family val="2"/>
    </font>
    <font>
      <sz val="8"/>
      <color indexed="8"/>
      <name val="Bahnschrift Light"/>
      <family val="2"/>
    </font>
    <font>
      <sz val="9"/>
      <color indexed="8"/>
      <name val="Bahnschrift Light"/>
      <family val="2"/>
    </font>
    <font>
      <sz val="9"/>
      <color rgb="FFFF0000"/>
      <name val="Bahnschrift Light"/>
      <family val="2"/>
    </font>
    <font>
      <sz val="9"/>
      <color rgb="FFFFFFFF"/>
      <name val="Bahnschrift Light"/>
      <family val="2"/>
    </font>
    <font>
      <sz val="9"/>
      <color theme="0"/>
      <name val="Bahnschrift Light"/>
      <family val="2"/>
    </font>
    <font>
      <sz val="11"/>
      <color rgb="FF0070C0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sz val="8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4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164" fontId="8" fillId="0" borderId="0" xfId="1" applyNumberFormat="1" applyFont="1"/>
    <xf numFmtId="0" fontId="3" fillId="2" borderId="0" xfId="0" applyFont="1" applyFill="1"/>
    <xf numFmtId="165" fontId="3" fillId="2" borderId="0" xfId="0" applyNumberFormat="1" applyFont="1" applyFill="1" applyAlignment="1">
      <alignment horizontal="left" vertical="center"/>
    </xf>
    <xf numFmtId="0" fontId="3" fillId="0" borderId="0" xfId="0" applyFont="1"/>
    <xf numFmtId="9" fontId="7" fillId="0" borderId="0" xfId="2" applyFont="1" applyAlignment="1">
      <alignment horizontal="center" vertical="center"/>
    </xf>
    <xf numFmtId="1" fontId="10" fillId="0" borderId="0" xfId="0" applyNumberFormat="1" applyFont="1"/>
    <xf numFmtId="0" fontId="3" fillId="3" borderId="0" xfId="0" applyFont="1" applyFill="1"/>
    <xf numFmtId="165" fontId="3" fillId="3" borderId="0" xfId="0" applyNumberFormat="1" applyFont="1" applyFill="1" applyAlignment="1">
      <alignment horizontal="left" vertical="center"/>
    </xf>
    <xf numFmtId="164" fontId="5" fillId="0" borderId="0" xfId="0" applyNumberFormat="1" applyFont="1"/>
    <xf numFmtId="0" fontId="3" fillId="4" borderId="0" xfId="0" applyFont="1" applyFill="1"/>
    <xf numFmtId="165" fontId="3" fillId="4" borderId="0" xfId="0" applyNumberFormat="1" applyFont="1" applyFill="1" applyAlignment="1">
      <alignment horizontal="left" vertical="center"/>
    </xf>
    <xf numFmtId="0" fontId="3" fillId="5" borderId="0" xfId="0" applyFont="1" applyFill="1"/>
    <xf numFmtId="165" fontId="3" fillId="5" borderId="0" xfId="0" applyNumberFormat="1" applyFont="1" applyFill="1" applyAlignment="1">
      <alignment horizontal="left" vertical="center"/>
    </xf>
    <xf numFmtId="9" fontId="11" fillId="0" borderId="0" xfId="2" applyFont="1" applyFill="1" applyAlignment="1">
      <alignment horizontal="center" vertical="center"/>
    </xf>
    <xf numFmtId="164" fontId="2" fillId="0" borderId="0" xfId="1" applyNumberFormat="1" applyFont="1" applyFill="1"/>
    <xf numFmtId="0" fontId="2" fillId="0" borderId="0" xfId="0" applyFont="1" applyAlignment="1">
      <alignment horizontal="left" vertical="center"/>
    </xf>
    <xf numFmtId="10" fontId="8" fillId="0" borderId="0" xfId="2" applyNumberFormat="1" applyFont="1"/>
    <xf numFmtId="0" fontId="8" fillId="0" borderId="0" xfId="0" applyFont="1" applyAlignment="1">
      <alignment horizontal="center" vertical="center"/>
    </xf>
    <xf numFmtId="9" fontId="8" fillId="0" borderId="0" xfId="2" applyFont="1"/>
    <xf numFmtId="0" fontId="6" fillId="0" borderId="0" xfId="0" applyFont="1" applyAlignment="1">
      <alignment horizontal="center"/>
    </xf>
    <xf numFmtId="0" fontId="6" fillId="6" borderId="0" xfId="0" applyFont="1" applyFill="1"/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0" borderId="0" xfId="0" applyFont="1"/>
    <xf numFmtId="0" fontId="2" fillId="7" borderId="0" xfId="0" applyFont="1" applyFill="1"/>
    <xf numFmtId="164" fontId="2" fillId="0" borderId="0" xfId="0" applyNumberFormat="1" applyFont="1"/>
    <xf numFmtId="0" fontId="13" fillId="0" borderId="0" xfId="0" applyFont="1"/>
    <xf numFmtId="0" fontId="13" fillId="8" borderId="0" xfId="0" applyFont="1" applyFill="1"/>
    <xf numFmtId="164" fontId="13" fillId="8" borderId="0" xfId="0" applyNumberFormat="1" applyFont="1" applyFill="1"/>
    <xf numFmtId="164" fontId="2" fillId="0" borderId="0" xfId="1" applyNumberFormat="1" applyFont="1"/>
    <xf numFmtId="164" fontId="11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0" fontId="11" fillId="3" borderId="1" xfId="2" applyNumberFormat="1" applyFont="1" applyFill="1" applyBorder="1" applyAlignment="1">
      <alignment horizontal="center" vertical="center"/>
    </xf>
    <xf numFmtId="164" fontId="11" fillId="3" borderId="1" xfId="1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9" fontId="11" fillId="3" borderId="1" xfId="2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5" fillId="0" borderId="0" xfId="0" applyFont="1"/>
    <xf numFmtId="0" fontId="16" fillId="0" borderId="0" xfId="0" applyFont="1"/>
    <xf numFmtId="0" fontId="2" fillId="3" borderId="1" xfId="0" applyFont="1" applyFill="1" applyBorder="1" applyAlignment="1">
      <alignment horizontal="center" vertical="center"/>
    </xf>
    <xf numFmtId="164" fontId="12" fillId="4" borderId="1" xfId="1" applyNumberFormat="1" applyFont="1" applyFill="1" applyBorder="1" applyAlignment="1">
      <alignment horizontal="right" vertical="center"/>
    </xf>
    <xf numFmtId="9" fontId="19" fillId="4" borderId="1" xfId="2" applyFont="1" applyFill="1" applyBorder="1" applyAlignment="1">
      <alignment horizontal="center" vertical="center"/>
    </xf>
    <xf numFmtId="0" fontId="14" fillId="0" borderId="0" xfId="0" applyFont="1"/>
    <xf numFmtId="0" fontId="20" fillId="4" borderId="0" xfId="0" applyFont="1" applyFill="1"/>
    <xf numFmtId="0" fontId="20" fillId="0" borderId="0" xfId="0" applyFont="1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165" fontId="3" fillId="4" borderId="1" xfId="0" applyNumberFormat="1" applyFont="1" applyFill="1" applyBorder="1" applyAlignment="1">
      <alignment horizontal="left"/>
    </xf>
    <xf numFmtId="41" fontId="3" fillId="4" borderId="1" xfId="0" applyNumberFormat="1" applyFont="1" applyFill="1" applyBorder="1"/>
    <xf numFmtId="10" fontId="19" fillId="4" borderId="1" xfId="2" applyNumberFormat="1" applyFont="1" applyFill="1" applyBorder="1"/>
    <xf numFmtId="164" fontId="19" fillId="4" borderId="1" xfId="1" applyNumberFormat="1" applyFont="1" applyFill="1" applyBorder="1"/>
    <xf numFmtId="1" fontId="19" fillId="4" borderId="1" xfId="0" applyNumberFormat="1" applyFont="1" applyFill="1" applyBorder="1" applyAlignment="1">
      <alignment horizontal="center" vertical="center"/>
    </xf>
    <xf numFmtId="164" fontId="3" fillId="4" borderId="1" xfId="1" applyNumberFormat="1" applyFont="1" applyFill="1" applyBorder="1" applyAlignment="1" applyProtection="1"/>
    <xf numFmtId="164" fontId="3" fillId="4" borderId="1" xfId="1" applyNumberFormat="1" applyFont="1" applyFill="1" applyBorder="1" applyAlignment="1">
      <alignment horizontal="right" vertical="center"/>
    </xf>
    <xf numFmtId="164" fontId="21" fillId="4" borderId="1" xfId="1" applyNumberFormat="1" applyFont="1" applyFill="1" applyBorder="1" applyAlignment="1" applyProtection="1"/>
    <xf numFmtId="164" fontId="21" fillId="4" borderId="1" xfId="1" applyNumberFormat="1" applyFont="1" applyFill="1" applyBorder="1" applyAlignment="1">
      <alignment horizontal="right" vertical="center"/>
    </xf>
    <xf numFmtId="41" fontId="19" fillId="4" borderId="1" xfId="0" applyNumberFormat="1" applyFont="1" applyFill="1" applyBorder="1"/>
    <xf numFmtId="164" fontId="19" fillId="4" borderId="1" xfId="1" quotePrefix="1" applyNumberFormat="1" applyFont="1" applyFill="1" applyBorder="1" applyAlignment="1">
      <alignment vertical="center"/>
    </xf>
    <xf numFmtId="166" fontId="3" fillId="4" borderId="1" xfId="0" applyNumberFormat="1" applyFont="1" applyFill="1" applyBorder="1" applyAlignment="1">
      <alignment horizontal="left"/>
    </xf>
    <xf numFmtId="3" fontId="19" fillId="4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left" vertical="center"/>
    </xf>
    <xf numFmtId="1" fontId="3" fillId="4" borderId="1" xfId="0" applyNumberFormat="1" applyFont="1" applyFill="1" applyBorder="1"/>
    <xf numFmtId="0" fontId="19" fillId="4" borderId="1" xfId="0" applyFont="1" applyFill="1" applyBorder="1" applyAlignment="1">
      <alignment horizontal="center" vertical="center"/>
    </xf>
    <xf numFmtId="164" fontId="12" fillId="4" borderId="1" xfId="1" applyNumberFormat="1" applyFont="1" applyFill="1" applyBorder="1" applyAlignment="1" applyProtection="1"/>
    <xf numFmtId="0" fontId="19" fillId="0" borderId="0" xfId="0" applyFont="1"/>
    <xf numFmtId="41" fontId="19" fillId="4" borderId="1" xfId="0" quotePrefix="1" applyNumberFormat="1" applyFont="1" applyFill="1" applyBorder="1"/>
    <xf numFmtId="0" fontId="10" fillId="4" borderId="1" xfId="0" quotePrefix="1" applyFont="1" applyFill="1" applyBorder="1"/>
    <xf numFmtId="0" fontId="10" fillId="4" borderId="1" xfId="0" applyFont="1" applyFill="1" applyBorder="1"/>
    <xf numFmtId="0" fontId="22" fillId="4" borderId="1" xfId="0" applyFont="1" applyFill="1" applyBorder="1" applyAlignment="1">
      <alignment horizontal="center" vertical="center"/>
    </xf>
    <xf numFmtId="41" fontId="10" fillId="4" borderId="1" xfId="0" applyNumberFormat="1" applyFont="1" applyFill="1" applyBorder="1"/>
    <xf numFmtId="0" fontId="19" fillId="4" borderId="1" xfId="0" applyFont="1" applyFill="1" applyBorder="1" applyAlignment="1">
      <alignment horizontal="center"/>
    </xf>
    <xf numFmtId="166" fontId="10" fillId="4" borderId="1" xfId="0" applyNumberFormat="1" applyFont="1" applyFill="1" applyBorder="1" applyAlignment="1">
      <alignment horizontal="left"/>
    </xf>
    <xf numFmtId="10" fontId="22" fillId="4" borderId="1" xfId="2" applyNumberFormat="1" applyFont="1" applyFill="1" applyBorder="1"/>
    <xf numFmtId="3" fontId="23" fillId="4" borderId="1" xfId="0" applyNumberFormat="1" applyFont="1" applyFill="1" applyBorder="1" applyAlignment="1">
      <alignment horizontal="center" vertical="center"/>
    </xf>
    <xf numFmtId="41" fontId="22" fillId="4" borderId="1" xfId="0" applyNumberFormat="1" applyFont="1" applyFill="1" applyBorder="1"/>
    <xf numFmtId="0" fontId="24" fillId="4" borderId="1" xfId="0" applyFont="1" applyFill="1" applyBorder="1" applyAlignment="1">
      <alignment horizontal="center" vertical="center"/>
    </xf>
    <xf numFmtId="165" fontId="24" fillId="4" borderId="1" xfId="0" applyNumberFormat="1" applyFont="1" applyFill="1" applyBorder="1" applyAlignment="1">
      <alignment horizontal="left" vertical="center"/>
    </xf>
    <xf numFmtId="164" fontId="22" fillId="4" borderId="1" xfId="1" applyNumberFormat="1" applyFont="1" applyFill="1" applyBorder="1"/>
    <xf numFmtId="1" fontId="23" fillId="4" borderId="1" xfId="0" applyNumberFormat="1" applyFont="1" applyFill="1" applyBorder="1" applyAlignment="1">
      <alignment horizontal="center" vertical="center"/>
    </xf>
    <xf numFmtId="165" fontId="10" fillId="4" borderId="1" xfId="0" applyNumberFormat="1" applyFont="1" applyFill="1" applyBorder="1" applyAlignment="1">
      <alignment horizontal="left"/>
    </xf>
    <xf numFmtId="164" fontId="19" fillId="4" borderId="1" xfId="1" applyNumberFormat="1" applyFont="1" applyFill="1" applyBorder="1" applyAlignment="1">
      <alignment vertical="center"/>
    </xf>
    <xf numFmtId="0" fontId="3" fillId="4" borderId="1" xfId="0" quotePrefix="1" applyFont="1" applyFill="1" applyBorder="1"/>
    <xf numFmtId="14" fontId="3" fillId="4" borderId="1" xfId="0" applyNumberFormat="1" applyFont="1" applyFill="1" applyBorder="1" applyAlignment="1">
      <alignment horizontal="left"/>
    </xf>
    <xf numFmtId="164" fontId="25" fillId="4" borderId="1" xfId="1" applyNumberFormat="1" applyFont="1" applyFill="1" applyBorder="1" applyAlignment="1" applyProtection="1"/>
    <xf numFmtId="164" fontId="19" fillId="4" borderId="1" xfId="1" applyNumberFormat="1" applyFont="1" applyFill="1" applyBorder="1" applyAlignment="1">
      <alignment horizontal="center" vertical="center"/>
    </xf>
    <xf numFmtId="164" fontId="14" fillId="0" borderId="0" xfId="0" applyNumberFormat="1" applyFont="1"/>
    <xf numFmtId="0" fontId="14" fillId="4" borderId="0" xfId="0" applyFont="1" applyFill="1"/>
    <xf numFmtId="164" fontId="14" fillId="4" borderId="0" xfId="0" applyNumberFormat="1" applyFont="1" applyFill="1"/>
    <xf numFmtId="0" fontId="1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5" fontId="3" fillId="3" borderId="1" xfId="0" applyNumberFormat="1" applyFont="1" applyFill="1" applyBorder="1" applyAlignment="1">
      <alignment horizontal="left"/>
    </xf>
    <xf numFmtId="164" fontId="3" fillId="3" borderId="1" xfId="1" applyNumberFormat="1" applyFont="1" applyFill="1" applyBorder="1" applyAlignment="1">
      <alignment horizontal="center" vertical="center"/>
    </xf>
    <xf numFmtId="10" fontId="19" fillId="3" borderId="1" xfId="2" applyNumberFormat="1" applyFont="1" applyFill="1" applyBorder="1" applyAlignment="1">
      <alignment horizontal="center" vertical="center"/>
    </xf>
    <xf numFmtId="1" fontId="19" fillId="3" borderId="1" xfId="0" applyNumberFormat="1" applyFont="1" applyFill="1" applyBorder="1" applyAlignment="1">
      <alignment horizontal="center" vertical="center"/>
    </xf>
    <xf numFmtId="9" fontId="19" fillId="3" borderId="1" xfId="2" applyFont="1" applyFill="1" applyBorder="1" applyAlignment="1">
      <alignment horizontal="center" vertical="center"/>
    </xf>
    <xf numFmtId="41" fontId="3" fillId="3" borderId="1" xfId="0" applyNumberFormat="1" applyFont="1" applyFill="1" applyBorder="1"/>
    <xf numFmtId="164" fontId="3" fillId="3" borderId="1" xfId="1" applyNumberFormat="1" applyFont="1" applyFill="1" applyBorder="1" applyAlignment="1" applyProtection="1"/>
    <xf numFmtId="164" fontId="3" fillId="3" borderId="1" xfId="1" applyNumberFormat="1" applyFont="1" applyFill="1" applyBorder="1" applyAlignment="1">
      <alignment horizontal="right" vertical="center"/>
    </xf>
    <xf numFmtId="164" fontId="21" fillId="3" borderId="1" xfId="1" applyNumberFormat="1" applyFont="1" applyFill="1" applyBorder="1" applyAlignment="1" applyProtection="1"/>
    <xf numFmtId="164" fontId="21" fillId="3" borderId="1" xfId="1" applyNumberFormat="1" applyFont="1" applyFill="1" applyBorder="1" applyAlignment="1">
      <alignment horizontal="right" vertical="center"/>
    </xf>
    <xf numFmtId="164" fontId="19" fillId="3" borderId="1" xfId="1" applyNumberFormat="1" applyFont="1" applyFill="1" applyBorder="1" applyAlignment="1">
      <alignment vertical="center"/>
    </xf>
    <xf numFmtId="165" fontId="3" fillId="3" borderId="1" xfId="0" applyNumberFormat="1" applyFont="1" applyFill="1" applyBorder="1" applyAlignment="1">
      <alignment horizontal="left" vertical="center"/>
    </xf>
    <xf numFmtId="14" fontId="3" fillId="3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164" fontId="12" fillId="3" borderId="1" xfId="1" applyNumberFormat="1" applyFont="1" applyFill="1" applyBorder="1" applyAlignment="1">
      <alignment horizontal="center" vertical="center"/>
    </xf>
    <xf numFmtId="0" fontId="3" fillId="3" borderId="1" xfId="0" quotePrefix="1" applyFont="1" applyFill="1" applyBorder="1"/>
    <xf numFmtId="10" fontId="19" fillId="3" borderId="1" xfId="2" applyNumberFormat="1" applyFont="1" applyFill="1" applyBorder="1"/>
    <xf numFmtId="0" fontId="10" fillId="3" borderId="1" xfId="0" applyFont="1" applyFill="1" applyBorder="1"/>
    <xf numFmtId="165" fontId="10" fillId="3" borderId="1" xfId="0" applyNumberFormat="1" applyFont="1" applyFill="1" applyBorder="1" applyAlignment="1">
      <alignment horizontal="left"/>
    </xf>
    <xf numFmtId="41" fontId="10" fillId="3" borderId="1" xfId="0" applyNumberFormat="1" applyFont="1" applyFill="1" applyBorder="1"/>
    <xf numFmtId="10" fontId="22" fillId="3" borderId="1" xfId="2" applyNumberFormat="1" applyFont="1" applyFill="1" applyBorder="1"/>
    <xf numFmtId="1" fontId="23" fillId="3" borderId="1" xfId="0" applyNumberFormat="1" applyFont="1" applyFill="1" applyBorder="1" applyAlignment="1">
      <alignment horizontal="center" vertical="center"/>
    </xf>
    <xf numFmtId="0" fontId="0" fillId="9" borderId="0" xfId="0" applyFill="1"/>
    <xf numFmtId="0" fontId="8" fillId="9" borderId="0" xfId="0" applyFont="1" applyFill="1"/>
    <xf numFmtId="164" fontId="22" fillId="3" borderId="1" xfId="1" applyNumberFormat="1" applyFont="1" applyFill="1" applyBorder="1" applyAlignment="1">
      <alignment horizontal="center"/>
    </xf>
    <xf numFmtId="166" fontId="10" fillId="3" borderId="1" xfId="0" applyNumberFormat="1" applyFont="1" applyFill="1" applyBorder="1" applyAlignment="1">
      <alignment horizontal="left"/>
    </xf>
    <xf numFmtId="3" fontId="23" fillId="3" borderId="1" xfId="0" applyNumberFormat="1" applyFont="1" applyFill="1" applyBorder="1" applyAlignment="1">
      <alignment horizontal="center" vertical="center"/>
    </xf>
    <xf numFmtId="0" fontId="10" fillId="3" borderId="1" xfId="0" quotePrefix="1" applyFont="1" applyFill="1" applyBorder="1"/>
    <xf numFmtId="14" fontId="10" fillId="3" borderId="1" xfId="0" applyNumberFormat="1" applyFont="1" applyFill="1" applyBorder="1" applyAlignment="1">
      <alignment horizontal="left"/>
    </xf>
    <xf numFmtId="0" fontId="24" fillId="3" borderId="1" xfId="0" applyFont="1" applyFill="1" applyBorder="1" applyAlignment="1">
      <alignment horizontal="center" vertical="center"/>
    </xf>
    <xf numFmtId="165" fontId="24" fillId="3" borderId="1" xfId="0" applyNumberFormat="1" applyFont="1" applyFill="1" applyBorder="1" applyAlignment="1">
      <alignment horizontal="left" vertical="center"/>
    </xf>
    <xf numFmtId="164" fontId="19" fillId="3" borderId="1" xfId="1" quotePrefix="1" applyNumberFormat="1" applyFont="1" applyFill="1" applyBorder="1" applyAlignment="1">
      <alignment vertical="center"/>
    </xf>
    <xf numFmtId="41" fontId="22" fillId="3" borderId="1" xfId="0" applyNumberFormat="1" applyFont="1" applyFill="1" applyBorder="1" applyAlignment="1">
      <alignment vertical="center"/>
    </xf>
    <xf numFmtId="0" fontId="10" fillId="0" borderId="0" xfId="0" applyFont="1"/>
    <xf numFmtId="9" fontId="3" fillId="3" borderId="1" xfId="0" applyNumberFormat="1" applyFont="1" applyFill="1" applyBorder="1"/>
    <xf numFmtId="0" fontId="22" fillId="3" borderId="1" xfId="0" applyFont="1" applyFill="1" applyBorder="1" applyAlignment="1">
      <alignment horizontal="center" vertical="center"/>
    </xf>
    <xf numFmtId="0" fontId="22" fillId="0" borderId="0" xfId="0" applyFont="1"/>
    <xf numFmtId="41" fontId="22" fillId="3" borderId="1" xfId="0" applyNumberFormat="1" applyFont="1" applyFill="1" applyBorder="1"/>
    <xf numFmtId="164" fontId="19" fillId="3" borderId="1" xfId="1" applyNumberFormat="1" applyFont="1" applyFill="1" applyBorder="1" applyAlignment="1">
      <alignment horizontal="center"/>
    </xf>
    <xf numFmtId="41" fontId="19" fillId="3" borderId="1" xfId="0" applyNumberFormat="1" applyFont="1" applyFill="1" applyBorder="1"/>
    <xf numFmtId="166" fontId="3" fillId="3" borderId="1" xfId="0" applyNumberFormat="1" applyFont="1" applyFill="1" applyBorder="1" applyAlignment="1">
      <alignment horizontal="left"/>
    </xf>
    <xf numFmtId="3" fontId="19" fillId="3" borderId="1" xfId="0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/>
    <xf numFmtId="164" fontId="25" fillId="3" borderId="1" xfId="1" applyNumberFormat="1" applyFont="1" applyFill="1" applyBorder="1" applyAlignment="1" applyProtection="1"/>
    <xf numFmtId="164" fontId="19" fillId="3" borderId="1" xfId="1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/>
    <xf numFmtId="164" fontId="19" fillId="3" borderId="1" xfId="1" applyNumberFormat="1" applyFont="1" applyFill="1" applyBorder="1"/>
    <xf numFmtId="0" fontId="20" fillId="3" borderId="0" xfId="0" applyFont="1" applyFill="1"/>
    <xf numFmtId="0" fontId="14" fillId="3" borderId="0" xfId="0" applyFont="1" applyFill="1"/>
    <xf numFmtId="164" fontId="14" fillId="3" borderId="0" xfId="0" applyNumberFormat="1" applyFont="1" applyFill="1"/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/>
    <xf numFmtId="165" fontId="3" fillId="6" borderId="1" xfId="0" applyNumberFormat="1" applyFont="1" applyFill="1" applyBorder="1" applyAlignment="1">
      <alignment horizontal="left"/>
    </xf>
    <xf numFmtId="41" fontId="3" fillId="6" borderId="1" xfId="0" applyNumberFormat="1" applyFont="1" applyFill="1" applyBorder="1"/>
    <xf numFmtId="10" fontId="19" fillId="6" borderId="1" xfId="2" applyNumberFormat="1" applyFont="1" applyFill="1" applyBorder="1"/>
    <xf numFmtId="164" fontId="22" fillId="6" borderId="1" xfId="1" applyNumberFormat="1" applyFont="1" applyFill="1" applyBorder="1"/>
    <xf numFmtId="1" fontId="19" fillId="6" borderId="1" xfId="0" applyNumberFormat="1" applyFont="1" applyFill="1" applyBorder="1" applyAlignment="1">
      <alignment horizontal="center" vertical="center"/>
    </xf>
    <xf numFmtId="9" fontId="19" fillId="6" borderId="1" xfId="2" applyFont="1" applyFill="1" applyBorder="1" applyAlignment="1">
      <alignment horizontal="center" vertical="center"/>
    </xf>
    <xf numFmtId="164" fontId="3" fillId="6" borderId="1" xfId="1" applyNumberFormat="1" applyFont="1" applyFill="1" applyBorder="1" applyAlignment="1" applyProtection="1"/>
    <xf numFmtId="164" fontId="3" fillId="6" borderId="1" xfId="1" applyNumberFormat="1" applyFont="1" applyFill="1" applyBorder="1" applyAlignment="1">
      <alignment horizontal="right" vertical="center"/>
    </xf>
    <xf numFmtId="164" fontId="21" fillId="6" borderId="1" xfId="1" applyNumberFormat="1" applyFont="1" applyFill="1" applyBorder="1" applyAlignment="1" applyProtection="1"/>
    <xf numFmtId="164" fontId="19" fillId="6" borderId="1" xfId="1" applyNumberFormat="1" applyFont="1" applyFill="1" applyBorder="1" applyAlignment="1">
      <alignment horizontal="center" vertical="center"/>
    </xf>
    <xf numFmtId="164" fontId="21" fillId="6" borderId="1" xfId="1" applyNumberFormat="1" applyFont="1" applyFill="1" applyBorder="1" applyAlignment="1">
      <alignment horizontal="right" vertical="center"/>
    </xf>
    <xf numFmtId="41" fontId="19" fillId="6" borderId="1" xfId="0" applyNumberFormat="1" applyFont="1" applyFill="1" applyBorder="1"/>
    <xf numFmtId="165" fontId="3" fillId="6" borderId="1" xfId="0" applyNumberFormat="1" applyFont="1" applyFill="1" applyBorder="1" applyAlignment="1">
      <alignment horizontal="left" vertical="center"/>
    </xf>
    <xf numFmtId="1" fontId="3" fillId="6" borderId="1" xfId="0" applyNumberFormat="1" applyFont="1" applyFill="1" applyBorder="1"/>
    <xf numFmtId="0" fontId="19" fillId="6" borderId="1" xfId="0" applyFont="1" applyFill="1" applyBorder="1" applyAlignment="1">
      <alignment horizontal="center" vertical="center"/>
    </xf>
    <xf numFmtId="0" fontId="10" fillId="6" borderId="1" xfId="0" applyFont="1" applyFill="1" applyBorder="1"/>
    <xf numFmtId="165" fontId="10" fillId="6" borderId="1" xfId="0" applyNumberFormat="1" applyFont="1" applyFill="1" applyBorder="1" applyAlignment="1">
      <alignment horizontal="left"/>
    </xf>
    <xf numFmtId="14" fontId="3" fillId="6" borderId="1" xfId="0" applyNumberFormat="1" applyFont="1" applyFill="1" applyBorder="1"/>
    <xf numFmtId="1" fontId="23" fillId="6" borderId="1" xfId="0" applyNumberFormat="1" applyFont="1" applyFill="1" applyBorder="1" applyAlignment="1">
      <alignment horizontal="center" vertical="center"/>
    </xf>
    <xf numFmtId="41" fontId="10" fillId="6" borderId="1" xfId="0" applyNumberFormat="1" applyFont="1" applyFill="1" applyBorder="1"/>
    <xf numFmtId="41" fontId="22" fillId="6" borderId="1" xfId="0" applyNumberFormat="1" applyFont="1" applyFill="1" applyBorder="1"/>
    <xf numFmtId="0" fontId="3" fillId="6" borderId="1" xfId="0" quotePrefix="1" applyFont="1" applyFill="1" applyBorder="1"/>
    <xf numFmtId="164" fontId="19" fillId="6" borderId="1" xfId="1" applyNumberFormat="1" applyFont="1" applyFill="1" applyBorder="1"/>
    <xf numFmtId="0" fontId="19" fillId="6" borderId="1" xfId="0" applyFont="1" applyFill="1" applyBorder="1" applyAlignment="1">
      <alignment horizontal="center"/>
    </xf>
    <xf numFmtId="164" fontId="18" fillId="6" borderId="1" xfId="1" applyNumberFormat="1" applyFont="1" applyFill="1" applyBorder="1" applyAlignment="1" applyProtection="1"/>
    <xf numFmtId="164" fontId="18" fillId="6" borderId="1" xfId="1" applyNumberFormat="1" applyFont="1" applyFill="1" applyBorder="1" applyAlignment="1">
      <alignment horizontal="right" vertical="center"/>
    </xf>
    <xf numFmtId="0" fontId="22" fillId="6" borderId="1" xfId="0" applyFont="1" applyFill="1" applyBorder="1" applyAlignment="1">
      <alignment horizontal="center" vertical="center"/>
    </xf>
    <xf numFmtId="10" fontId="22" fillId="6" borderId="1" xfId="2" applyNumberFormat="1" applyFont="1" applyFill="1" applyBorder="1"/>
    <xf numFmtId="164" fontId="25" fillId="6" borderId="1" xfId="1" applyNumberFormat="1" applyFont="1" applyFill="1" applyBorder="1" applyAlignment="1" applyProtection="1"/>
    <xf numFmtId="0" fontId="20" fillId="6" borderId="0" xfId="0" applyFont="1" applyFill="1"/>
    <xf numFmtId="0" fontId="14" fillId="6" borderId="0" xfId="0" applyFont="1" applyFill="1"/>
    <xf numFmtId="164" fontId="14" fillId="6" borderId="0" xfId="0" applyNumberFormat="1" applyFont="1" applyFill="1"/>
    <xf numFmtId="14" fontId="3" fillId="6" borderId="1" xfId="0" applyNumberFormat="1" applyFont="1" applyFill="1" applyBorder="1" applyAlignment="1">
      <alignment horizontal="left"/>
    </xf>
    <xf numFmtId="3" fontId="19" fillId="6" borderId="1" xfId="0" applyNumberFormat="1" applyFont="1" applyFill="1" applyBorder="1" applyAlignment="1">
      <alignment horizontal="center" vertical="center"/>
    </xf>
    <xf numFmtId="9" fontId="19" fillId="10" borderId="1" xfId="2" applyFont="1" applyFill="1" applyBorder="1" applyAlignment="1">
      <alignment horizontal="center" vertical="center"/>
    </xf>
    <xf numFmtId="0" fontId="20" fillId="10" borderId="0" xfId="0" applyFont="1" applyFill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165" fontId="3" fillId="0" borderId="1" xfId="0" applyNumberFormat="1" applyFont="1" applyBorder="1" applyAlignment="1">
      <alignment horizontal="left"/>
    </xf>
    <xf numFmtId="41" fontId="3" fillId="0" borderId="1" xfId="0" applyNumberFormat="1" applyFont="1" applyBorder="1"/>
    <xf numFmtId="10" fontId="19" fillId="0" borderId="1" xfId="2" applyNumberFormat="1" applyFont="1" applyFill="1" applyBorder="1"/>
    <xf numFmtId="164" fontId="22" fillId="0" borderId="1" xfId="1" applyNumberFormat="1" applyFont="1" applyFill="1" applyBorder="1"/>
    <xf numFmtId="1" fontId="19" fillId="0" borderId="1" xfId="0" applyNumberFormat="1" applyFont="1" applyBorder="1" applyAlignment="1">
      <alignment horizontal="center" vertical="center"/>
    </xf>
    <xf numFmtId="9" fontId="19" fillId="0" borderId="1" xfId="2" applyFont="1" applyFill="1" applyBorder="1" applyAlignment="1">
      <alignment horizontal="center" vertical="center"/>
    </xf>
    <xf numFmtId="164" fontId="3" fillId="0" borderId="1" xfId="1" applyNumberFormat="1" applyFont="1" applyFill="1" applyBorder="1" applyAlignment="1" applyProtection="1"/>
    <xf numFmtId="164" fontId="3" fillId="0" borderId="1" xfId="1" applyNumberFormat="1" applyFont="1" applyFill="1" applyBorder="1" applyAlignment="1">
      <alignment horizontal="right" vertical="center"/>
    </xf>
    <xf numFmtId="164" fontId="25" fillId="0" borderId="1" xfId="1" applyNumberFormat="1" applyFont="1" applyFill="1" applyBorder="1" applyAlignment="1" applyProtection="1"/>
    <xf numFmtId="164" fontId="21" fillId="0" borderId="1" xfId="1" applyNumberFormat="1" applyFont="1" applyFill="1" applyBorder="1" applyAlignment="1" applyProtection="1"/>
    <xf numFmtId="164" fontId="21" fillId="0" borderId="1" xfId="1" applyNumberFormat="1" applyFont="1" applyFill="1" applyBorder="1" applyAlignment="1">
      <alignment horizontal="right" vertical="center"/>
    </xf>
    <xf numFmtId="164" fontId="19" fillId="0" borderId="1" xfId="1" applyNumberFormat="1" applyFont="1" applyFill="1" applyBorder="1" applyAlignment="1">
      <alignment horizontal="center" vertical="center"/>
    </xf>
    <xf numFmtId="0" fontId="3" fillId="0" borderId="1" xfId="0" quotePrefix="1" applyFont="1" applyBorder="1"/>
    <xf numFmtId="164" fontId="19" fillId="0" borderId="1" xfId="1" applyNumberFormat="1" applyFont="1" applyFill="1" applyBorder="1"/>
    <xf numFmtId="41" fontId="19" fillId="0" borderId="1" xfId="0" applyNumberFormat="1" applyFont="1" applyBorder="1"/>
    <xf numFmtId="165" fontId="3" fillId="0" borderId="1" xfId="0" applyNumberFormat="1" applyFont="1" applyBorder="1" applyAlignment="1">
      <alignment horizontal="left" vertical="center"/>
    </xf>
    <xf numFmtId="1" fontId="3" fillId="0" borderId="1" xfId="0" applyNumberFormat="1" applyFont="1" applyBorder="1"/>
    <xf numFmtId="0" fontId="19" fillId="0" borderId="1" xfId="0" applyFont="1" applyBorder="1" applyAlignment="1">
      <alignment horizontal="center" vertical="center"/>
    </xf>
    <xf numFmtId="1" fontId="3" fillId="0" borderId="1" xfId="0" quotePrefix="1" applyNumberFormat="1" applyFont="1" applyBorder="1" applyAlignment="1">
      <alignment horizontal="left"/>
    </xf>
    <xf numFmtId="1" fontId="3" fillId="0" borderId="1" xfId="0" applyNumberFormat="1" applyFont="1" applyBorder="1" applyAlignment="1">
      <alignment horizontal="left"/>
    </xf>
    <xf numFmtId="0" fontId="19" fillId="0" borderId="1" xfId="0" applyFont="1" applyBorder="1" applyAlignment="1">
      <alignment horizontal="center"/>
    </xf>
    <xf numFmtId="1" fontId="3" fillId="0" borderId="1" xfId="0" quotePrefix="1" applyNumberFormat="1" applyFont="1" applyBorder="1"/>
    <xf numFmtId="0" fontId="3" fillId="0" borderId="1" xfId="0" applyFont="1" applyBorder="1" applyAlignment="1">
      <alignment horizontal="left"/>
    </xf>
    <xf numFmtId="0" fontId="3" fillId="0" borderId="1" xfId="0" quotePrefix="1" applyFont="1" applyBorder="1" applyAlignment="1">
      <alignment vertical="center"/>
    </xf>
    <xf numFmtId="164" fontId="18" fillId="0" borderId="1" xfId="1" applyNumberFormat="1" applyFont="1" applyFill="1" applyBorder="1" applyAlignment="1">
      <alignment horizontal="right" vertical="center"/>
    </xf>
    <xf numFmtId="9" fontId="3" fillId="0" borderId="1" xfId="0" applyNumberFormat="1" applyFont="1" applyBorder="1"/>
    <xf numFmtId="166" fontId="3" fillId="0" borderId="1" xfId="0" applyNumberFormat="1" applyFont="1" applyBorder="1" applyAlignment="1">
      <alignment horizontal="left"/>
    </xf>
    <xf numFmtId="3" fontId="19" fillId="0" borderId="1" xfId="0" applyNumberFormat="1" applyFont="1" applyBorder="1" applyAlignment="1">
      <alignment horizontal="center" vertical="center"/>
    </xf>
    <xf numFmtId="164" fontId="3" fillId="0" borderId="1" xfId="1" applyNumberFormat="1" applyFont="1" applyFill="1" applyBorder="1"/>
    <xf numFmtId="164" fontId="18" fillId="4" borderId="1" xfId="1" applyNumberFormat="1" applyFont="1" applyFill="1" applyBorder="1" applyAlignment="1">
      <alignment horizontal="right" vertical="center"/>
    </xf>
    <xf numFmtId="0" fontId="3" fillId="0" borderId="1" xfId="0" quotePrefix="1" applyFont="1" applyBorder="1" applyAlignment="1">
      <alignment horizontal="center" vertical="center"/>
    </xf>
    <xf numFmtId="10" fontId="19" fillId="0" borderId="1" xfId="2" applyNumberFormat="1" applyFont="1" applyBorder="1"/>
    <xf numFmtId="164" fontId="19" fillId="0" borderId="1" xfId="1" applyNumberFormat="1" applyFont="1" applyBorder="1"/>
    <xf numFmtId="164" fontId="3" fillId="0" borderId="1" xfId="1" applyNumberFormat="1" applyFont="1" applyBorder="1" applyAlignment="1">
      <alignment horizontal="right" vertical="center"/>
    </xf>
    <xf numFmtId="0" fontId="3" fillId="10" borderId="1" xfId="0" quotePrefix="1" applyFont="1" applyFill="1" applyBorder="1"/>
    <xf numFmtId="0" fontId="3" fillId="10" borderId="1" xfId="0" applyFont="1" applyFill="1" applyBorder="1"/>
    <xf numFmtId="165" fontId="3" fillId="10" borderId="1" xfId="0" applyNumberFormat="1" applyFont="1" applyFill="1" applyBorder="1" applyAlignment="1">
      <alignment horizontal="left" vertical="center"/>
    </xf>
    <xf numFmtId="1" fontId="3" fillId="10" borderId="1" xfId="0" applyNumberFormat="1" applyFont="1" applyFill="1" applyBorder="1"/>
    <xf numFmtId="41" fontId="3" fillId="10" borderId="1" xfId="0" applyNumberFormat="1" applyFont="1" applyFill="1" applyBorder="1"/>
    <xf numFmtId="10" fontId="19" fillId="10" borderId="1" xfId="2" applyNumberFormat="1" applyFont="1" applyFill="1" applyBorder="1"/>
    <xf numFmtId="0" fontId="19" fillId="10" borderId="1" xfId="0" applyFont="1" applyFill="1" applyBorder="1" applyAlignment="1">
      <alignment horizontal="center"/>
    </xf>
    <xf numFmtId="164" fontId="3" fillId="10" borderId="1" xfId="1" applyNumberFormat="1" applyFont="1" applyFill="1" applyBorder="1" applyAlignment="1" applyProtection="1"/>
    <xf numFmtId="164" fontId="3" fillId="10" borderId="1" xfId="1" applyNumberFormat="1" applyFont="1" applyFill="1" applyBorder="1" applyAlignment="1">
      <alignment horizontal="right" vertical="center"/>
    </xf>
    <xf numFmtId="164" fontId="21" fillId="10" borderId="1" xfId="1" applyNumberFormat="1" applyFont="1" applyFill="1" applyBorder="1" applyAlignment="1" applyProtection="1"/>
    <xf numFmtId="164" fontId="21" fillId="10" borderId="1" xfId="1" applyNumberFormat="1" applyFont="1" applyFill="1" applyBorder="1" applyAlignment="1">
      <alignment horizontal="right" vertical="center"/>
    </xf>
    <xf numFmtId="41" fontId="19" fillId="10" borderId="1" xfId="0" applyNumberFormat="1" applyFont="1" applyFill="1" applyBorder="1"/>
    <xf numFmtId="164" fontId="22" fillId="0" borderId="1" xfId="1" applyNumberFormat="1" applyFont="1" applyBorder="1"/>
    <xf numFmtId="164" fontId="21" fillId="0" borderId="1" xfId="1" applyNumberFormat="1" applyFont="1" applyBorder="1" applyAlignment="1">
      <alignment horizontal="right" vertical="center"/>
    </xf>
    <xf numFmtId="164" fontId="19" fillId="0" borderId="1" xfId="1" applyNumberFormat="1" applyFont="1" applyBorder="1" applyAlignment="1">
      <alignment horizontal="center" vertical="center"/>
    </xf>
    <xf numFmtId="165" fontId="3" fillId="9" borderId="1" xfId="0" applyNumberFormat="1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3" fillId="9" borderId="1" xfId="0" applyFont="1" applyFill="1" applyBorder="1" applyAlignment="1">
      <alignment horizontal="left"/>
    </xf>
    <xf numFmtId="41" fontId="3" fillId="9" borderId="1" xfId="0" applyNumberFormat="1" applyFont="1" applyFill="1" applyBorder="1"/>
    <xf numFmtId="10" fontId="19" fillId="9" borderId="1" xfId="2" applyNumberFormat="1" applyFont="1" applyFill="1" applyBorder="1"/>
    <xf numFmtId="0" fontId="3" fillId="9" borderId="1" xfId="0" applyFont="1" applyFill="1" applyBorder="1"/>
    <xf numFmtId="164" fontId="3" fillId="0" borderId="1" xfId="1" applyNumberFormat="1" applyFont="1" applyBorder="1"/>
    <xf numFmtId="41" fontId="3" fillId="0" borderId="1" xfId="1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165" fontId="3" fillId="2" borderId="1" xfId="0" applyNumberFormat="1" applyFont="1" applyFill="1" applyBorder="1" applyAlignment="1">
      <alignment horizontal="left" vertical="center"/>
    </xf>
    <xf numFmtId="1" fontId="3" fillId="2" borderId="1" xfId="0" applyNumberFormat="1" applyFont="1" applyFill="1" applyBorder="1"/>
    <xf numFmtId="41" fontId="3" fillId="2" borderId="1" xfId="0" applyNumberFormat="1" applyFont="1" applyFill="1" applyBorder="1"/>
    <xf numFmtId="10" fontId="19" fillId="2" borderId="1" xfId="2" applyNumberFormat="1" applyFont="1" applyFill="1" applyBorder="1"/>
    <xf numFmtId="164" fontId="19" fillId="2" borderId="1" xfId="1" applyNumberFormat="1" applyFont="1" applyFill="1" applyBorder="1"/>
    <xf numFmtId="0" fontId="19" fillId="2" borderId="1" xfId="0" applyFont="1" applyFill="1" applyBorder="1" applyAlignment="1">
      <alignment horizontal="center" vertical="center"/>
    </xf>
    <xf numFmtId="9" fontId="19" fillId="2" borderId="1" xfId="2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 applyProtection="1"/>
    <xf numFmtId="164" fontId="3" fillId="2" borderId="1" xfId="1" applyNumberFormat="1" applyFont="1" applyFill="1" applyBorder="1" applyAlignment="1">
      <alignment horizontal="right" vertical="center"/>
    </xf>
    <xf numFmtId="164" fontId="21" fillId="2" borderId="1" xfId="1" applyNumberFormat="1" applyFont="1" applyFill="1" applyBorder="1" applyAlignment="1" applyProtection="1"/>
    <xf numFmtId="164" fontId="21" fillId="2" borderId="1" xfId="1" applyNumberFormat="1" applyFont="1" applyFill="1" applyBorder="1" applyAlignment="1">
      <alignment horizontal="right" vertical="center"/>
    </xf>
    <xf numFmtId="41" fontId="19" fillId="2" borderId="1" xfId="0" applyNumberFormat="1" applyFont="1" applyFill="1" applyBorder="1"/>
    <xf numFmtId="0" fontId="14" fillId="2" borderId="0" xfId="0" applyFont="1" applyFill="1"/>
    <xf numFmtId="0" fontId="20" fillId="2" borderId="0" xfId="0" applyFont="1" applyFill="1"/>
    <xf numFmtId="0" fontId="19" fillId="1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/>
    </xf>
    <xf numFmtId="0" fontId="19" fillId="12" borderId="1" xfId="0" applyFont="1" applyFill="1" applyBorder="1" applyAlignment="1">
      <alignment horizontal="center"/>
    </xf>
    <xf numFmtId="164" fontId="17" fillId="0" borderId="1" xfId="1" applyNumberFormat="1" applyFont="1" applyBorder="1"/>
    <xf numFmtId="1" fontId="3" fillId="2" borderId="1" xfId="0" quotePrefix="1" applyNumberFormat="1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left"/>
    </xf>
    <xf numFmtId="164" fontId="14" fillId="2" borderId="0" xfId="0" applyNumberFormat="1" applyFont="1" applyFill="1"/>
    <xf numFmtId="0" fontId="3" fillId="2" borderId="1" xfId="0" quotePrefix="1" applyFont="1" applyFill="1" applyBorder="1"/>
    <xf numFmtId="164" fontId="25" fillId="2" borderId="1" xfId="1" applyNumberFormat="1" applyFont="1" applyFill="1" applyBorder="1" applyAlignment="1" applyProtection="1"/>
    <xf numFmtId="16" fontId="3" fillId="0" borderId="1" xfId="0" quotePrefix="1" applyNumberFormat="1" applyFont="1" applyBorder="1"/>
    <xf numFmtId="16" fontId="3" fillId="0" borderId="1" xfId="0" applyNumberFormat="1" applyFont="1" applyBorder="1"/>
    <xf numFmtId="0" fontId="3" fillId="13" borderId="1" xfId="0" quotePrefix="1" applyFont="1" applyFill="1" applyBorder="1"/>
    <xf numFmtId="0" fontId="3" fillId="13" borderId="1" xfId="0" applyFont="1" applyFill="1" applyBorder="1"/>
    <xf numFmtId="165" fontId="3" fillId="13" borderId="1" xfId="0" applyNumberFormat="1" applyFont="1" applyFill="1" applyBorder="1" applyAlignment="1">
      <alignment horizontal="left" vertical="center"/>
    </xf>
    <xf numFmtId="1" fontId="3" fillId="13" borderId="1" xfId="0" applyNumberFormat="1" applyFont="1" applyFill="1" applyBorder="1"/>
    <xf numFmtId="41" fontId="3" fillId="13" borderId="1" xfId="0" applyNumberFormat="1" applyFont="1" applyFill="1" applyBorder="1"/>
    <xf numFmtId="10" fontId="19" fillId="13" borderId="1" xfId="2" applyNumberFormat="1" applyFont="1" applyFill="1" applyBorder="1"/>
    <xf numFmtId="0" fontId="19" fillId="13" borderId="1" xfId="0" applyFont="1" applyFill="1" applyBorder="1" applyAlignment="1">
      <alignment horizontal="center"/>
    </xf>
    <xf numFmtId="9" fontId="19" fillId="13" borderId="1" xfId="2" applyFont="1" applyFill="1" applyBorder="1" applyAlignment="1">
      <alignment horizontal="center" vertical="center"/>
    </xf>
    <xf numFmtId="164" fontId="3" fillId="13" borderId="1" xfId="1" applyNumberFormat="1" applyFont="1" applyFill="1" applyBorder="1" applyAlignment="1" applyProtection="1"/>
    <xf numFmtId="164" fontId="3" fillId="13" borderId="1" xfId="1" applyNumberFormat="1" applyFont="1" applyFill="1" applyBorder="1" applyAlignment="1">
      <alignment horizontal="right" vertical="center"/>
    </xf>
    <xf numFmtId="164" fontId="21" fillId="13" borderId="1" xfId="1" applyNumberFormat="1" applyFont="1" applyFill="1" applyBorder="1" applyAlignment="1" applyProtection="1"/>
    <xf numFmtId="164" fontId="21" fillId="13" borderId="1" xfId="1" applyNumberFormat="1" applyFont="1" applyFill="1" applyBorder="1" applyAlignment="1">
      <alignment horizontal="right" vertical="center"/>
    </xf>
    <xf numFmtId="41" fontId="19" fillId="13" borderId="1" xfId="0" applyNumberFormat="1" applyFont="1" applyFill="1" applyBorder="1"/>
    <xf numFmtId="0" fontId="20" fillId="13" borderId="0" xfId="0" applyFont="1" applyFill="1"/>
    <xf numFmtId="164" fontId="19" fillId="10" borderId="1" xfId="1" applyNumberFormat="1" applyFont="1" applyFill="1" applyBorder="1"/>
    <xf numFmtId="0" fontId="3" fillId="14" borderId="1" xfId="0" quotePrefix="1" applyFont="1" applyFill="1" applyBorder="1"/>
    <xf numFmtId="0" fontId="3" fillId="14" borderId="1" xfId="0" applyFont="1" applyFill="1" applyBorder="1"/>
    <xf numFmtId="165" fontId="3" fillId="14" borderId="1" xfId="0" applyNumberFormat="1" applyFont="1" applyFill="1" applyBorder="1" applyAlignment="1">
      <alignment horizontal="left" vertical="center"/>
    </xf>
    <xf numFmtId="1" fontId="3" fillId="14" borderId="1" xfId="0" applyNumberFormat="1" applyFont="1" applyFill="1" applyBorder="1"/>
    <xf numFmtId="41" fontId="3" fillId="14" borderId="1" xfId="0" applyNumberFormat="1" applyFont="1" applyFill="1" applyBorder="1"/>
    <xf numFmtId="10" fontId="19" fillId="14" borderId="1" xfId="2" applyNumberFormat="1" applyFont="1" applyFill="1" applyBorder="1"/>
    <xf numFmtId="164" fontId="19" fillId="14" borderId="1" xfId="1" applyNumberFormat="1" applyFont="1" applyFill="1" applyBorder="1"/>
    <xf numFmtId="0" fontId="19" fillId="14" borderId="1" xfId="0" applyFont="1" applyFill="1" applyBorder="1" applyAlignment="1">
      <alignment horizontal="center"/>
    </xf>
    <xf numFmtId="9" fontId="19" fillId="14" borderId="1" xfId="2" applyFont="1" applyFill="1" applyBorder="1" applyAlignment="1">
      <alignment horizontal="center" vertical="center"/>
    </xf>
    <xf numFmtId="164" fontId="3" fillId="14" borderId="1" xfId="1" applyNumberFormat="1" applyFont="1" applyFill="1" applyBorder="1" applyAlignment="1" applyProtection="1"/>
    <xf numFmtId="164" fontId="3" fillId="14" borderId="1" xfId="1" applyNumberFormat="1" applyFont="1" applyFill="1" applyBorder="1" applyAlignment="1">
      <alignment horizontal="right" vertical="center"/>
    </xf>
    <xf numFmtId="164" fontId="21" fillId="14" borderId="1" xfId="1" applyNumberFormat="1" applyFont="1" applyFill="1" applyBorder="1" applyAlignment="1" applyProtection="1"/>
    <xf numFmtId="164" fontId="21" fillId="14" borderId="1" xfId="1" applyNumberFormat="1" applyFont="1" applyFill="1" applyBorder="1" applyAlignment="1">
      <alignment horizontal="right" vertical="center"/>
    </xf>
    <xf numFmtId="41" fontId="19" fillId="14" borderId="1" xfId="0" applyNumberFormat="1" applyFont="1" applyFill="1" applyBorder="1"/>
    <xf numFmtId="0" fontId="20" fillId="14" borderId="0" xfId="0" applyFont="1" applyFill="1"/>
    <xf numFmtId="0" fontId="19" fillId="3" borderId="1" xfId="0" applyFont="1" applyFill="1" applyBorder="1" applyAlignment="1">
      <alignment horizontal="center"/>
    </xf>
    <xf numFmtId="0" fontId="10" fillId="0" borderId="1" xfId="0" applyFont="1" applyBorder="1"/>
    <xf numFmtId="164" fontId="26" fillId="11" borderId="1" xfId="1" applyNumberFormat="1" applyFont="1" applyFill="1" applyBorder="1" applyAlignment="1">
      <alignment horizontal="right" vertical="center"/>
    </xf>
    <xf numFmtId="0" fontId="3" fillId="15" borderId="1" xfId="0" applyFont="1" applyFill="1" applyBorder="1" applyAlignment="1">
      <alignment horizontal="center" vertical="center"/>
    </xf>
    <xf numFmtId="0" fontId="3" fillId="15" borderId="1" xfId="0" applyFont="1" applyFill="1" applyBorder="1"/>
    <xf numFmtId="165" fontId="3" fillId="15" borderId="1" xfId="0" applyNumberFormat="1" applyFont="1" applyFill="1" applyBorder="1" applyAlignment="1">
      <alignment horizontal="left" vertical="center"/>
    </xf>
    <xf numFmtId="1" fontId="3" fillId="15" borderId="1" xfId="0" applyNumberFormat="1" applyFont="1" applyFill="1" applyBorder="1"/>
    <xf numFmtId="41" fontId="3" fillId="15" borderId="1" xfId="0" applyNumberFormat="1" applyFont="1" applyFill="1" applyBorder="1"/>
    <xf numFmtId="10" fontId="19" fillId="15" borderId="1" xfId="2" applyNumberFormat="1" applyFont="1" applyFill="1" applyBorder="1"/>
    <xf numFmtId="164" fontId="19" fillId="15" borderId="1" xfId="1" applyNumberFormat="1" applyFont="1" applyFill="1" applyBorder="1"/>
    <xf numFmtId="0" fontId="19" fillId="15" borderId="1" xfId="0" applyFont="1" applyFill="1" applyBorder="1" applyAlignment="1">
      <alignment horizontal="center"/>
    </xf>
    <xf numFmtId="9" fontId="19" fillId="15" borderId="1" xfId="2" applyFont="1" applyFill="1" applyBorder="1" applyAlignment="1">
      <alignment horizontal="center" vertical="center"/>
    </xf>
    <xf numFmtId="164" fontId="3" fillId="15" borderId="1" xfId="1" applyNumberFormat="1" applyFont="1" applyFill="1" applyBorder="1" applyAlignment="1" applyProtection="1"/>
    <xf numFmtId="164" fontId="3" fillId="15" borderId="1" xfId="1" applyNumberFormat="1" applyFont="1" applyFill="1" applyBorder="1" applyAlignment="1">
      <alignment horizontal="right" vertical="center"/>
    </xf>
    <xf numFmtId="164" fontId="25" fillId="15" borderId="1" xfId="1" applyNumberFormat="1" applyFont="1" applyFill="1" applyBorder="1" applyAlignment="1" applyProtection="1"/>
    <xf numFmtId="164" fontId="21" fillId="15" borderId="1" xfId="1" applyNumberFormat="1" applyFont="1" applyFill="1" applyBorder="1" applyAlignment="1" applyProtection="1"/>
    <xf numFmtId="164" fontId="21" fillId="15" borderId="1" xfId="1" applyNumberFormat="1" applyFont="1" applyFill="1" applyBorder="1" applyAlignment="1">
      <alignment horizontal="right" vertical="center"/>
    </xf>
    <xf numFmtId="164" fontId="27" fillId="15" borderId="1" xfId="1" applyNumberFormat="1" applyFont="1" applyFill="1" applyBorder="1" applyAlignment="1">
      <alignment horizontal="right" vertical="center"/>
    </xf>
    <xf numFmtId="41" fontId="19" fillId="15" borderId="1" xfId="0" applyNumberFormat="1" applyFont="1" applyFill="1" applyBorder="1"/>
    <xf numFmtId="0" fontId="20" fillId="15" borderId="0" xfId="0" applyFont="1" applyFill="1"/>
    <xf numFmtId="1" fontId="3" fillId="3" borderId="1" xfId="0" quotePrefix="1" applyNumberFormat="1" applyFont="1" applyFill="1" applyBorder="1" applyAlignment="1">
      <alignment horizontal="left"/>
    </xf>
    <xf numFmtId="0" fontId="28" fillId="0" borderId="0" xfId="0" applyFont="1"/>
    <xf numFmtId="164" fontId="9" fillId="0" borderId="0" xfId="1" applyNumberFormat="1" applyFont="1"/>
    <xf numFmtId="10" fontId="9" fillId="0" borderId="0" xfId="2" applyNumberFormat="1" applyFont="1"/>
    <xf numFmtId="0" fontId="9" fillId="0" borderId="0" xfId="0" applyFont="1" applyAlignment="1">
      <alignment horizontal="center" vertical="center"/>
    </xf>
    <xf numFmtId="9" fontId="9" fillId="0" borderId="0" xfId="2" applyFont="1"/>
    <xf numFmtId="165" fontId="21" fillId="0" borderId="0" xfId="0" applyNumberFormat="1" applyFont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17">
    <dxf>
      <fill>
        <patternFill patternType="solid">
          <bgColor rgb="FFFF99FF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CC99FF"/>
        </patternFill>
      </fill>
    </dxf>
    <dxf>
      <font>
        <color rgb="FFFF0000"/>
      </font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.%20NOMINATIF%20KB%20NATA%20-%20DEBITUR%202024%20-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i"/>
      <sheetName val="Juni"/>
      <sheetName val="Juli"/>
      <sheetName val="Agust"/>
      <sheetName val="Sept"/>
      <sheetName val="Okt"/>
      <sheetName val="Nov"/>
      <sheetName val="Des"/>
      <sheetName val="Jan'25"/>
      <sheetName val="Feb'25"/>
      <sheetName val="Mar'25"/>
      <sheetName val="Apr'25"/>
      <sheetName val="MEI'25"/>
      <sheetName val="JUNI'25"/>
      <sheetName val="JULI'25"/>
      <sheetName val="AGUST'25"/>
      <sheetName val="SEPT'25"/>
      <sheetName val="OKT'25"/>
      <sheetName val="NOV'25"/>
      <sheetName val="DES'25"/>
      <sheetName val="coll - DES"/>
      <sheetName val="lunas MD Rehab DES"/>
      <sheetName val="RINCIAN TO - PELUNASAN"/>
      <sheetName val="LANJUT CEK2 GAGAL BAYAR OKT"/>
      <sheetName val="klasifikasi NPL"/>
      <sheetName val="MASALAH-agustus"/>
      <sheetName val="Sheet1"/>
      <sheetName val="COLLECTION"/>
      <sheetName val="Konfirm"/>
      <sheetName val="Sheet2"/>
      <sheetName val="Sheet3"/>
      <sheetName val="KETERANGAN ANGSURAN"/>
      <sheetName val="SAMPLE anuitas J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42">
          <cell r="S142">
            <v>0</v>
          </cell>
        </row>
        <row r="190">
          <cell r="S190">
            <v>0</v>
          </cell>
        </row>
        <row r="231">
          <cell r="S231">
            <v>0</v>
          </cell>
        </row>
        <row r="280">
          <cell r="S280">
            <v>0</v>
          </cell>
        </row>
        <row r="287">
          <cell r="S287">
            <v>0</v>
          </cell>
          <cell r="Y287">
            <v>0</v>
          </cell>
        </row>
        <row r="292">
          <cell r="S292">
            <v>0</v>
          </cell>
        </row>
        <row r="294">
          <cell r="S294">
            <v>0</v>
          </cell>
        </row>
        <row r="296">
          <cell r="S296">
            <v>0</v>
          </cell>
        </row>
        <row r="308">
          <cell r="S308">
            <v>0</v>
          </cell>
        </row>
      </sheetData>
      <sheetData sheetId="18">
        <row r="108">
          <cell r="Q108">
            <v>968500</v>
          </cell>
          <cell r="R108">
            <v>0</v>
          </cell>
          <cell r="S108">
            <v>0</v>
          </cell>
        </row>
        <row r="109">
          <cell r="Q109">
            <v>7083332.3333333302</v>
          </cell>
          <cell r="R109">
            <v>4958333.3333333302</v>
          </cell>
          <cell r="S109">
            <v>0</v>
          </cell>
        </row>
        <row r="110">
          <cell r="Q110">
            <v>4333333.6666666698</v>
          </cell>
          <cell r="R110">
            <v>2275000</v>
          </cell>
          <cell r="S110">
            <v>0</v>
          </cell>
        </row>
        <row r="111">
          <cell r="Q111">
            <v>1044333.33333333</v>
          </cell>
          <cell r="R111">
            <v>380000</v>
          </cell>
          <cell r="S111">
            <v>0</v>
          </cell>
        </row>
        <row r="112">
          <cell r="Q112">
            <v>1394167</v>
          </cell>
          <cell r="R112">
            <v>1290600</v>
          </cell>
          <cell r="S112">
            <v>0</v>
          </cell>
        </row>
        <row r="113">
          <cell r="Q113">
            <v>845833</v>
          </cell>
          <cell r="R113">
            <v>435000</v>
          </cell>
          <cell r="S113">
            <v>0</v>
          </cell>
        </row>
        <row r="114">
          <cell r="Q114">
            <v>700000</v>
          </cell>
          <cell r="R114">
            <v>420000</v>
          </cell>
          <cell r="S114">
            <v>0</v>
          </cell>
        </row>
        <row r="116">
          <cell r="Q116">
            <v>716666.66666666698</v>
          </cell>
          <cell r="R116">
            <v>419732</v>
          </cell>
          <cell r="S116">
            <v>0</v>
          </cell>
        </row>
        <row r="118">
          <cell r="Q118">
            <v>0</v>
          </cell>
          <cell r="R118">
            <v>0</v>
          </cell>
          <cell r="S118">
            <v>0</v>
          </cell>
        </row>
        <row r="119">
          <cell r="Q119">
            <v>857961</v>
          </cell>
          <cell r="R119">
            <v>240000</v>
          </cell>
          <cell r="S119">
            <v>0</v>
          </cell>
        </row>
        <row r="120">
          <cell r="Q120">
            <v>429010</v>
          </cell>
          <cell r="R120">
            <v>252100</v>
          </cell>
          <cell r="S120">
            <v>0</v>
          </cell>
        </row>
        <row r="121">
          <cell r="Q121">
            <v>350000</v>
          </cell>
          <cell r="R121">
            <v>161434</v>
          </cell>
          <cell r="S121">
            <v>0</v>
          </cell>
        </row>
        <row r="122">
          <cell r="Q122">
            <v>1236736</v>
          </cell>
          <cell r="R122">
            <v>0</v>
          </cell>
          <cell r="S122">
            <v>0</v>
          </cell>
        </row>
        <row r="124">
          <cell r="Q124">
            <v>1842262.33333333</v>
          </cell>
          <cell r="R124">
            <v>350000</v>
          </cell>
          <cell r="S124">
            <v>0</v>
          </cell>
        </row>
        <row r="125">
          <cell r="Q125">
            <v>0</v>
          </cell>
          <cell r="R125">
            <v>0</v>
          </cell>
          <cell r="S125">
            <v>0</v>
          </cell>
        </row>
        <row r="126">
          <cell r="Q126">
            <v>0</v>
          </cell>
          <cell r="R126">
            <v>0</v>
          </cell>
          <cell r="S126">
            <v>0</v>
          </cell>
        </row>
        <row r="128">
          <cell r="Q128">
            <v>810000</v>
          </cell>
          <cell r="R128">
            <v>486000</v>
          </cell>
          <cell r="S128">
            <v>0</v>
          </cell>
        </row>
        <row r="129">
          <cell r="Q129">
            <v>237500</v>
          </cell>
          <cell r="R129">
            <v>137139</v>
          </cell>
          <cell r="S129">
            <v>0</v>
          </cell>
        </row>
        <row r="130">
          <cell r="Q130">
            <v>0</v>
          </cell>
          <cell r="R130">
            <v>0</v>
          </cell>
          <cell r="S130">
            <v>0</v>
          </cell>
        </row>
        <row r="131">
          <cell r="Q131">
            <v>384000</v>
          </cell>
          <cell r="R131">
            <v>0</v>
          </cell>
          <cell r="S131">
            <v>0</v>
          </cell>
        </row>
        <row r="132">
          <cell r="Q132">
            <v>625000</v>
          </cell>
          <cell r="R132">
            <v>375000</v>
          </cell>
          <cell r="S132">
            <v>0</v>
          </cell>
        </row>
        <row r="133">
          <cell r="Q133">
            <v>0</v>
          </cell>
          <cell r="R133">
            <v>0</v>
          </cell>
          <cell r="S133">
            <v>0</v>
          </cell>
        </row>
        <row r="134">
          <cell r="Q134">
            <v>-0.44444444443797698</v>
          </cell>
          <cell r="R134">
            <v>0</v>
          </cell>
          <cell r="S134">
            <v>0</v>
          </cell>
        </row>
        <row r="135">
          <cell r="Q135">
            <v>201388.88888888899</v>
          </cell>
          <cell r="R135">
            <v>58116</v>
          </cell>
          <cell r="S135">
            <v>0</v>
          </cell>
        </row>
        <row r="136">
          <cell r="Q136">
            <v>1450000</v>
          </cell>
          <cell r="R136">
            <v>435000</v>
          </cell>
          <cell r="S136">
            <v>30000</v>
          </cell>
        </row>
        <row r="137">
          <cell r="Q137">
            <v>0</v>
          </cell>
          <cell r="R137">
            <v>0</v>
          </cell>
          <cell r="S137">
            <v>0</v>
          </cell>
        </row>
        <row r="139">
          <cell r="Q139">
            <v>0</v>
          </cell>
          <cell r="R139">
            <v>0</v>
          </cell>
          <cell r="S139">
            <v>0</v>
          </cell>
        </row>
        <row r="140">
          <cell r="Q140">
            <v>7.5669959187507598E-10</v>
          </cell>
          <cell r="R140">
            <v>-4.9999999988358503E-2</v>
          </cell>
          <cell r="S140">
            <v>0</v>
          </cell>
        </row>
        <row r="141">
          <cell r="Q141">
            <v>0</v>
          </cell>
          <cell r="R141">
            <v>-0.375</v>
          </cell>
          <cell r="S141">
            <v>0</v>
          </cell>
        </row>
        <row r="142">
          <cell r="Q142">
            <v>0</v>
          </cell>
          <cell r="R142">
            <v>0</v>
          </cell>
          <cell r="S142">
            <v>0</v>
          </cell>
        </row>
        <row r="143">
          <cell r="Q143">
            <v>630880</v>
          </cell>
          <cell r="R143">
            <v>330000</v>
          </cell>
          <cell r="S143">
            <v>0</v>
          </cell>
        </row>
        <row r="144">
          <cell r="Q144">
            <v>234582.16666666701</v>
          </cell>
          <cell r="R144">
            <v>140749.29999999999</v>
          </cell>
          <cell r="S144">
            <v>10000</v>
          </cell>
        </row>
        <row r="146">
          <cell r="Q146">
            <v>43424.666666666701</v>
          </cell>
          <cell r="R146">
            <v>0</v>
          </cell>
          <cell r="S146">
            <v>0</v>
          </cell>
        </row>
        <row r="147">
          <cell r="Q147">
            <v>0</v>
          </cell>
          <cell r="R147">
            <v>0</v>
          </cell>
          <cell r="S147">
            <v>0</v>
          </cell>
        </row>
        <row r="148">
          <cell r="Q148">
            <v>0</v>
          </cell>
          <cell r="R148">
            <v>0</v>
          </cell>
          <cell r="S148">
            <v>0</v>
          </cell>
        </row>
        <row r="149">
          <cell r="Q149">
            <v>0</v>
          </cell>
          <cell r="R149">
            <v>0</v>
          </cell>
          <cell r="S149">
            <v>0</v>
          </cell>
        </row>
        <row r="150">
          <cell r="Q150">
            <v>0</v>
          </cell>
          <cell r="R150">
            <v>0</v>
          </cell>
          <cell r="S150">
            <v>0</v>
          </cell>
        </row>
        <row r="151">
          <cell r="Q151">
            <v>0</v>
          </cell>
          <cell r="R151">
            <v>0</v>
          </cell>
          <cell r="S151">
            <v>0</v>
          </cell>
        </row>
        <row r="152">
          <cell r="Q152">
            <v>0</v>
          </cell>
          <cell r="R152">
            <v>0</v>
          </cell>
          <cell r="S152">
            <v>0</v>
          </cell>
        </row>
        <row r="153">
          <cell r="Q153">
            <v>0</v>
          </cell>
          <cell r="R153">
            <v>0</v>
          </cell>
          <cell r="S153">
            <v>0</v>
          </cell>
        </row>
        <row r="155">
          <cell r="Q155">
            <v>0</v>
          </cell>
          <cell r="R155">
            <v>0</v>
          </cell>
          <cell r="S155">
            <v>0</v>
          </cell>
        </row>
        <row r="156">
          <cell r="Q156">
            <v>38240</v>
          </cell>
          <cell r="R156">
            <v>0</v>
          </cell>
          <cell r="S156">
            <v>0</v>
          </cell>
        </row>
        <row r="157">
          <cell r="Q157">
            <v>0</v>
          </cell>
          <cell r="R157">
            <v>0</v>
          </cell>
          <cell r="S157">
            <v>0</v>
          </cell>
        </row>
        <row r="158">
          <cell r="Q158">
            <v>0</v>
          </cell>
          <cell r="R158">
            <v>0</v>
          </cell>
          <cell r="S158">
            <v>0</v>
          </cell>
        </row>
        <row r="159">
          <cell r="Q159">
            <v>391666.66666666698</v>
          </cell>
          <cell r="R159">
            <v>235000</v>
          </cell>
          <cell r="S159">
            <v>0</v>
          </cell>
        </row>
        <row r="160">
          <cell r="Q160">
            <v>0</v>
          </cell>
          <cell r="R160">
            <v>0</v>
          </cell>
          <cell r="S160">
            <v>0</v>
          </cell>
        </row>
        <row r="161">
          <cell r="Q161">
            <v>243750</v>
          </cell>
          <cell r="R161">
            <v>146250</v>
          </cell>
          <cell r="S161">
            <v>0</v>
          </cell>
        </row>
        <row r="162">
          <cell r="Q162">
            <v>0</v>
          </cell>
          <cell r="R162">
            <v>0</v>
          </cell>
          <cell r="S162">
            <v>0</v>
          </cell>
        </row>
        <row r="163">
          <cell r="Q163">
            <v>0</v>
          </cell>
          <cell r="R163">
            <v>0</v>
          </cell>
          <cell r="S163">
            <v>0</v>
          </cell>
        </row>
        <row r="164">
          <cell r="Q164">
            <v>0</v>
          </cell>
          <cell r="R164">
            <v>0</v>
          </cell>
          <cell r="S164">
            <v>0</v>
          </cell>
        </row>
        <row r="165">
          <cell r="Q165">
            <v>-0.33333333332848297</v>
          </cell>
          <cell r="R165">
            <v>0</v>
          </cell>
          <cell r="S165">
            <v>0</v>
          </cell>
        </row>
        <row r="166">
          <cell r="Q166">
            <v>0</v>
          </cell>
          <cell r="R166">
            <v>0</v>
          </cell>
          <cell r="S166">
            <v>0</v>
          </cell>
        </row>
        <row r="167">
          <cell r="Q167">
            <v>0</v>
          </cell>
          <cell r="R167">
            <v>0</v>
          </cell>
          <cell r="S167">
            <v>0</v>
          </cell>
        </row>
        <row r="168">
          <cell r="Q168">
            <v>0</v>
          </cell>
          <cell r="R168">
            <v>0</v>
          </cell>
          <cell r="S168">
            <v>0</v>
          </cell>
        </row>
        <row r="169">
          <cell r="Q169">
            <v>-0.333333333313931</v>
          </cell>
          <cell r="R169">
            <v>0</v>
          </cell>
          <cell r="S169">
            <v>0</v>
          </cell>
        </row>
        <row r="170">
          <cell r="Q170">
            <v>40283</v>
          </cell>
          <cell r="R170">
            <v>0</v>
          </cell>
          <cell r="S170">
            <v>0</v>
          </cell>
        </row>
        <row r="171">
          <cell r="Q171">
            <v>0</v>
          </cell>
          <cell r="R171">
            <v>0</v>
          </cell>
          <cell r="S171">
            <v>0</v>
          </cell>
        </row>
        <row r="172">
          <cell r="Q172">
            <v>0</v>
          </cell>
          <cell r="R172">
            <v>0</v>
          </cell>
          <cell r="S172">
            <v>0</v>
          </cell>
        </row>
        <row r="173">
          <cell r="Q173">
            <v>0</v>
          </cell>
          <cell r="R173">
            <v>0</v>
          </cell>
          <cell r="S173">
            <v>0</v>
          </cell>
        </row>
        <row r="174">
          <cell r="Q174">
            <v>0</v>
          </cell>
          <cell r="R174">
            <v>0</v>
          </cell>
          <cell r="S174">
            <v>0</v>
          </cell>
        </row>
        <row r="175">
          <cell r="Q175">
            <v>85000</v>
          </cell>
          <cell r="R175">
            <v>50812</v>
          </cell>
          <cell r="S175">
            <v>0</v>
          </cell>
        </row>
        <row r="176">
          <cell r="Q176">
            <v>0</v>
          </cell>
          <cell r="R176">
            <v>0</v>
          </cell>
          <cell r="S176">
            <v>0</v>
          </cell>
        </row>
        <row r="177">
          <cell r="Q177">
            <v>0</v>
          </cell>
          <cell r="R177">
            <v>0</v>
          </cell>
          <cell r="S177">
            <v>0</v>
          </cell>
        </row>
        <row r="178">
          <cell r="Q178">
            <v>0</v>
          </cell>
          <cell r="R178">
            <v>0</v>
          </cell>
          <cell r="S178">
            <v>0</v>
          </cell>
        </row>
        <row r="179">
          <cell r="Q179">
            <v>0</v>
          </cell>
          <cell r="R179">
            <v>0</v>
          </cell>
          <cell r="S179">
            <v>0</v>
          </cell>
        </row>
        <row r="180">
          <cell r="Q180">
            <v>0</v>
          </cell>
          <cell r="R180">
            <v>0</v>
          </cell>
          <cell r="S180">
            <v>0</v>
          </cell>
        </row>
        <row r="182">
          <cell r="Q182">
            <v>0.33333333343034599</v>
          </cell>
          <cell r="R182">
            <v>0</v>
          </cell>
          <cell r="S182">
            <v>0</v>
          </cell>
        </row>
        <row r="183">
          <cell r="Q183">
            <v>0</v>
          </cell>
          <cell r="R183">
            <v>0</v>
          </cell>
          <cell r="S183">
            <v>0</v>
          </cell>
        </row>
        <row r="184">
          <cell r="Q184">
            <v>0</v>
          </cell>
          <cell r="R184">
            <v>0</v>
          </cell>
          <cell r="S184">
            <v>0</v>
          </cell>
        </row>
        <row r="185">
          <cell r="Q185">
            <v>0</v>
          </cell>
          <cell r="R185">
            <v>0</v>
          </cell>
          <cell r="S185">
            <v>0</v>
          </cell>
        </row>
        <row r="186">
          <cell r="S186">
            <v>0</v>
          </cell>
        </row>
        <row r="187">
          <cell r="Q187">
            <v>0</v>
          </cell>
          <cell r="R187">
            <v>0</v>
          </cell>
          <cell r="S187">
            <v>0</v>
          </cell>
        </row>
        <row r="188">
          <cell r="Q188">
            <v>0</v>
          </cell>
          <cell r="R188">
            <v>0</v>
          </cell>
          <cell r="S188">
            <v>0</v>
          </cell>
        </row>
        <row r="189">
          <cell r="Q189">
            <v>0</v>
          </cell>
          <cell r="R189">
            <v>0</v>
          </cell>
          <cell r="S189">
            <v>0</v>
          </cell>
        </row>
        <row r="190">
          <cell r="Q190">
            <v>271875</v>
          </cell>
          <cell r="R190">
            <v>126525</v>
          </cell>
          <cell r="S190">
            <v>0</v>
          </cell>
        </row>
        <row r="191">
          <cell r="Q191">
            <v>275625</v>
          </cell>
          <cell r="R191">
            <v>165375</v>
          </cell>
          <cell r="S191">
            <v>0</v>
          </cell>
        </row>
        <row r="192">
          <cell r="Q192">
            <v>0</v>
          </cell>
          <cell r="R192">
            <v>0</v>
          </cell>
          <cell r="S192">
            <v>0</v>
          </cell>
        </row>
        <row r="193">
          <cell r="Q193">
            <v>0</v>
          </cell>
          <cell r="R193">
            <v>0</v>
          </cell>
          <cell r="S193">
            <v>0</v>
          </cell>
        </row>
        <row r="194">
          <cell r="Q194">
            <v>0</v>
          </cell>
          <cell r="R194">
            <v>0</v>
          </cell>
          <cell r="S194">
            <v>0</v>
          </cell>
        </row>
        <row r="195">
          <cell r="Q195">
            <v>0</v>
          </cell>
          <cell r="R195">
            <v>0</v>
          </cell>
          <cell r="S195">
            <v>0</v>
          </cell>
        </row>
        <row r="196">
          <cell r="Q196">
            <v>0</v>
          </cell>
          <cell r="R196">
            <v>0</v>
          </cell>
          <cell r="S196">
            <v>0</v>
          </cell>
        </row>
        <row r="197">
          <cell r="Q197">
            <v>65625</v>
          </cell>
          <cell r="R197">
            <v>39375</v>
          </cell>
          <cell r="S197">
            <v>0</v>
          </cell>
        </row>
        <row r="198">
          <cell r="Q198">
            <v>0</v>
          </cell>
          <cell r="R198">
            <v>0</v>
          </cell>
          <cell r="S198">
            <v>0</v>
          </cell>
        </row>
        <row r="199">
          <cell r="Q199">
            <v>0</v>
          </cell>
          <cell r="R199">
            <v>0</v>
          </cell>
          <cell r="S199">
            <v>0</v>
          </cell>
        </row>
        <row r="200">
          <cell r="Q200">
            <v>0</v>
          </cell>
          <cell r="R200">
            <v>0</v>
          </cell>
          <cell r="S200">
            <v>0</v>
          </cell>
        </row>
        <row r="201">
          <cell r="Q201">
            <v>0</v>
          </cell>
          <cell r="R201">
            <v>0</v>
          </cell>
          <cell r="S201">
            <v>0</v>
          </cell>
        </row>
        <row r="202">
          <cell r="Q202">
            <v>0</v>
          </cell>
          <cell r="R202">
            <v>0</v>
          </cell>
          <cell r="S202">
            <v>0</v>
          </cell>
        </row>
        <row r="203">
          <cell r="Q203">
            <v>0</v>
          </cell>
          <cell r="R203">
            <v>0</v>
          </cell>
          <cell r="S203">
            <v>0</v>
          </cell>
        </row>
        <row r="204">
          <cell r="Q204">
            <v>0</v>
          </cell>
          <cell r="R204">
            <v>0</v>
          </cell>
          <cell r="S204">
            <v>0</v>
          </cell>
        </row>
        <row r="205">
          <cell r="Q205">
            <v>0</v>
          </cell>
          <cell r="R205">
            <v>0</v>
          </cell>
          <cell r="S205">
            <v>0</v>
          </cell>
        </row>
        <row r="206">
          <cell r="Q206">
            <v>0</v>
          </cell>
          <cell r="R206">
            <v>0</v>
          </cell>
          <cell r="S206">
            <v>0</v>
          </cell>
        </row>
        <row r="207">
          <cell r="Q207">
            <v>0</v>
          </cell>
          <cell r="R207">
            <v>0</v>
          </cell>
          <cell r="S207">
            <v>0</v>
          </cell>
        </row>
        <row r="208">
          <cell r="Q208">
            <v>0</v>
          </cell>
          <cell r="R208">
            <v>0</v>
          </cell>
          <cell r="S208">
            <v>0</v>
          </cell>
        </row>
        <row r="209">
          <cell r="Q209">
            <v>0</v>
          </cell>
          <cell r="R209">
            <v>0</v>
          </cell>
          <cell r="S209">
            <v>0</v>
          </cell>
        </row>
        <row r="210">
          <cell r="Q210">
            <v>0</v>
          </cell>
          <cell r="R210">
            <v>0</v>
          </cell>
          <cell r="S210">
            <v>0</v>
          </cell>
        </row>
        <row r="211">
          <cell r="Q211">
            <v>0</v>
          </cell>
          <cell r="R211">
            <v>0</v>
          </cell>
          <cell r="S211">
            <v>0</v>
          </cell>
        </row>
        <row r="212">
          <cell r="Q212">
            <v>0</v>
          </cell>
          <cell r="R212">
            <v>0</v>
          </cell>
          <cell r="S212">
            <v>0</v>
          </cell>
        </row>
        <row r="213">
          <cell r="Q213">
            <v>0</v>
          </cell>
          <cell r="R213">
            <v>0</v>
          </cell>
          <cell r="S213">
            <v>0</v>
          </cell>
        </row>
        <row r="214">
          <cell r="Q214">
            <v>306250</v>
          </cell>
          <cell r="R214">
            <v>183750</v>
          </cell>
          <cell r="S214">
            <v>0</v>
          </cell>
        </row>
        <row r="215">
          <cell r="Q215">
            <v>0</v>
          </cell>
          <cell r="R215">
            <v>0</v>
          </cell>
          <cell r="S215">
            <v>0</v>
          </cell>
        </row>
        <row r="216">
          <cell r="Q216">
            <v>0</v>
          </cell>
          <cell r="R216">
            <v>0</v>
          </cell>
          <cell r="S216">
            <v>0</v>
          </cell>
        </row>
        <row r="217">
          <cell r="Q217">
            <v>0</v>
          </cell>
          <cell r="R217">
            <v>0</v>
          </cell>
          <cell r="S217">
            <v>0</v>
          </cell>
        </row>
        <row r="218">
          <cell r="Q218">
            <v>0</v>
          </cell>
          <cell r="R218">
            <v>0</v>
          </cell>
          <cell r="S218">
            <v>0</v>
          </cell>
        </row>
        <row r="220">
          <cell r="Q220">
            <v>0</v>
          </cell>
          <cell r="R220">
            <v>0</v>
          </cell>
          <cell r="S220">
            <v>0</v>
          </cell>
        </row>
        <row r="221">
          <cell r="Q221">
            <v>0</v>
          </cell>
          <cell r="R221">
            <v>0</v>
          </cell>
          <cell r="S221">
            <v>0</v>
          </cell>
        </row>
        <row r="222">
          <cell r="Q222">
            <v>0</v>
          </cell>
          <cell r="R222">
            <v>0</v>
          </cell>
          <cell r="S222">
            <v>0</v>
          </cell>
        </row>
        <row r="223">
          <cell r="Q223">
            <v>0</v>
          </cell>
          <cell r="R223">
            <v>0</v>
          </cell>
          <cell r="S223">
            <v>0</v>
          </cell>
        </row>
        <row r="224">
          <cell r="Q224">
            <v>0</v>
          </cell>
          <cell r="R224">
            <v>0</v>
          </cell>
          <cell r="S224">
            <v>0</v>
          </cell>
        </row>
        <row r="225">
          <cell r="Q225">
            <v>0</v>
          </cell>
          <cell r="R225">
            <v>0</v>
          </cell>
          <cell r="S225">
            <v>0</v>
          </cell>
        </row>
        <row r="226">
          <cell r="Q226">
            <v>0</v>
          </cell>
          <cell r="R226">
            <v>0</v>
          </cell>
          <cell r="S226">
            <v>0</v>
          </cell>
        </row>
        <row r="227">
          <cell r="Q227">
            <v>0</v>
          </cell>
          <cell r="R227">
            <v>0</v>
          </cell>
          <cell r="S227">
            <v>0</v>
          </cell>
        </row>
        <row r="228">
          <cell r="Q228">
            <v>0</v>
          </cell>
          <cell r="R228">
            <v>0</v>
          </cell>
          <cell r="S228">
            <v>0</v>
          </cell>
        </row>
        <row r="229">
          <cell r="Q229">
            <v>0</v>
          </cell>
          <cell r="R229">
            <v>0</v>
          </cell>
          <cell r="S229">
            <v>0</v>
          </cell>
        </row>
        <row r="230">
          <cell r="Q230">
            <v>0</v>
          </cell>
          <cell r="R230">
            <v>0</v>
          </cell>
          <cell r="S230">
            <v>0</v>
          </cell>
        </row>
        <row r="231">
          <cell r="Q231">
            <v>0</v>
          </cell>
          <cell r="R231">
            <v>0</v>
          </cell>
          <cell r="S231">
            <v>0</v>
          </cell>
        </row>
        <row r="232">
          <cell r="Q232">
            <v>215625</v>
          </cell>
          <cell r="R232">
            <v>129375</v>
          </cell>
          <cell r="S232">
            <v>0</v>
          </cell>
        </row>
        <row r="233">
          <cell r="Q233">
            <v>0</v>
          </cell>
          <cell r="R233">
            <v>0</v>
          </cell>
          <cell r="S233">
            <v>0</v>
          </cell>
        </row>
        <row r="234">
          <cell r="Q234">
            <v>0</v>
          </cell>
          <cell r="R234">
            <v>0</v>
          </cell>
          <cell r="S234">
            <v>0</v>
          </cell>
        </row>
        <row r="235">
          <cell r="Q235">
            <v>0</v>
          </cell>
          <cell r="R235">
            <v>0</v>
          </cell>
          <cell r="S235">
            <v>0</v>
          </cell>
        </row>
        <row r="236">
          <cell r="Q236">
            <v>0</v>
          </cell>
          <cell r="R236">
            <v>0</v>
          </cell>
          <cell r="S236">
            <v>0</v>
          </cell>
        </row>
        <row r="237">
          <cell r="Q237">
            <v>0</v>
          </cell>
          <cell r="R237">
            <v>0</v>
          </cell>
          <cell r="S237">
            <v>0</v>
          </cell>
        </row>
        <row r="238">
          <cell r="Q238">
            <v>0</v>
          </cell>
          <cell r="R238">
            <v>0</v>
          </cell>
          <cell r="S238">
            <v>0</v>
          </cell>
        </row>
        <row r="239">
          <cell r="Q239">
            <v>0</v>
          </cell>
          <cell r="R239">
            <v>0</v>
          </cell>
          <cell r="S239">
            <v>0</v>
          </cell>
        </row>
        <row r="240">
          <cell r="Q240">
            <v>-0.375</v>
          </cell>
          <cell r="R240">
            <v>0.375</v>
          </cell>
          <cell r="S240">
            <v>0</v>
          </cell>
        </row>
        <row r="241">
          <cell r="Q241">
            <v>0</v>
          </cell>
          <cell r="R241">
            <v>0</v>
          </cell>
          <cell r="S241">
            <v>0</v>
          </cell>
        </row>
        <row r="242">
          <cell r="Q242">
            <v>0</v>
          </cell>
          <cell r="R242">
            <v>0</v>
          </cell>
          <cell r="S242">
            <v>0</v>
          </cell>
        </row>
        <row r="243">
          <cell r="Q243">
            <v>0.333333333313931</v>
          </cell>
          <cell r="R243">
            <v>0</v>
          </cell>
          <cell r="S243">
            <v>0</v>
          </cell>
        </row>
        <row r="244">
          <cell r="Q244">
            <v>138504</v>
          </cell>
          <cell r="R244">
            <v>0</v>
          </cell>
          <cell r="S244">
            <v>0</v>
          </cell>
        </row>
        <row r="245">
          <cell r="Q245">
            <v>0</v>
          </cell>
          <cell r="R245">
            <v>0</v>
          </cell>
          <cell r="S245">
            <v>0</v>
          </cell>
        </row>
        <row r="246">
          <cell r="Q246">
            <v>0.168000000005122</v>
          </cell>
          <cell r="R246">
            <v>0</v>
          </cell>
          <cell r="S246">
            <v>0</v>
          </cell>
        </row>
        <row r="247">
          <cell r="Q247">
            <v>0</v>
          </cell>
          <cell r="R247">
            <v>0</v>
          </cell>
          <cell r="S247">
            <v>0</v>
          </cell>
        </row>
        <row r="248">
          <cell r="Q248">
            <v>-0.333333333343035</v>
          </cell>
          <cell r="R248">
            <v>0</v>
          </cell>
          <cell r="S248">
            <v>0</v>
          </cell>
        </row>
        <row r="249">
          <cell r="Q249">
            <v>0</v>
          </cell>
          <cell r="R249">
            <v>0</v>
          </cell>
          <cell r="S249">
            <v>0</v>
          </cell>
        </row>
        <row r="250">
          <cell r="Q250">
            <v>0</v>
          </cell>
          <cell r="R250">
            <v>0</v>
          </cell>
          <cell r="S250">
            <v>0</v>
          </cell>
        </row>
        <row r="251">
          <cell r="Q251">
            <v>0</v>
          </cell>
          <cell r="R251">
            <v>0</v>
          </cell>
          <cell r="S251">
            <v>0</v>
          </cell>
        </row>
        <row r="252">
          <cell r="Q252">
            <v>0</v>
          </cell>
          <cell r="R252">
            <v>0</v>
          </cell>
          <cell r="S252">
            <v>0</v>
          </cell>
        </row>
        <row r="253">
          <cell r="Q253">
            <v>366666.66666666698</v>
          </cell>
          <cell r="R253">
            <v>220000</v>
          </cell>
          <cell r="S253">
            <v>0</v>
          </cell>
        </row>
        <row r="254">
          <cell r="Q254">
            <v>0</v>
          </cell>
          <cell r="R254">
            <v>0</v>
          </cell>
          <cell r="S254">
            <v>0</v>
          </cell>
        </row>
        <row r="255">
          <cell r="Q255">
            <v>141698.66666666701</v>
          </cell>
          <cell r="R255">
            <v>0</v>
          </cell>
          <cell r="S255">
            <v>0</v>
          </cell>
        </row>
        <row r="256">
          <cell r="Q256">
            <v>0</v>
          </cell>
          <cell r="R256">
            <v>0</v>
          </cell>
          <cell r="S256">
            <v>0</v>
          </cell>
        </row>
        <row r="257">
          <cell r="Q257">
            <v>0</v>
          </cell>
          <cell r="R257">
            <v>0</v>
          </cell>
          <cell r="S257">
            <v>0</v>
          </cell>
        </row>
        <row r="258">
          <cell r="Q258">
            <v>0</v>
          </cell>
          <cell r="R258">
            <v>0</v>
          </cell>
          <cell r="S258">
            <v>0</v>
          </cell>
        </row>
        <row r="259">
          <cell r="Q259">
            <v>73610</v>
          </cell>
          <cell r="R259">
            <v>0</v>
          </cell>
          <cell r="S259">
            <v>0</v>
          </cell>
        </row>
        <row r="260">
          <cell r="Q260">
            <v>0</v>
          </cell>
          <cell r="R260">
            <v>0</v>
          </cell>
          <cell r="S260">
            <v>0</v>
          </cell>
        </row>
        <row r="261">
          <cell r="Q261">
            <v>0</v>
          </cell>
          <cell r="R261">
            <v>0</v>
          </cell>
          <cell r="S261">
            <v>0</v>
          </cell>
        </row>
        <row r="262">
          <cell r="Q262">
            <v>0</v>
          </cell>
          <cell r="R262">
            <v>0</v>
          </cell>
          <cell r="S262">
            <v>0</v>
          </cell>
        </row>
        <row r="263">
          <cell r="Q263">
            <v>0</v>
          </cell>
          <cell r="R263">
            <v>0</v>
          </cell>
          <cell r="S263">
            <v>0</v>
          </cell>
        </row>
        <row r="264">
          <cell r="Q264">
            <v>0</v>
          </cell>
          <cell r="R264">
            <v>0</v>
          </cell>
          <cell r="S264">
            <v>0</v>
          </cell>
        </row>
        <row r="265">
          <cell r="Q265">
            <v>-0.333333333313931</v>
          </cell>
          <cell r="R265">
            <v>0</v>
          </cell>
          <cell r="S265">
            <v>0</v>
          </cell>
        </row>
        <row r="266">
          <cell r="Q266">
            <v>0</v>
          </cell>
          <cell r="R266">
            <v>0</v>
          </cell>
          <cell r="S266">
            <v>0</v>
          </cell>
        </row>
        <row r="267">
          <cell r="Q267">
            <v>556250</v>
          </cell>
          <cell r="R267">
            <v>333750</v>
          </cell>
          <cell r="S267">
            <v>0</v>
          </cell>
        </row>
        <row r="268">
          <cell r="Q268">
            <v>0</v>
          </cell>
          <cell r="R268">
            <v>0</v>
          </cell>
          <cell r="S268">
            <v>0</v>
          </cell>
        </row>
        <row r="269">
          <cell r="Q269">
            <v>0</v>
          </cell>
          <cell r="R269">
            <v>0</v>
          </cell>
          <cell r="S269">
            <v>0</v>
          </cell>
        </row>
        <row r="270">
          <cell r="Q270">
            <v>0</v>
          </cell>
          <cell r="R270">
            <v>0</v>
          </cell>
          <cell r="S270">
            <v>0</v>
          </cell>
        </row>
        <row r="271">
          <cell r="Q271">
            <v>416666.66666666698</v>
          </cell>
          <cell r="R271">
            <v>250000</v>
          </cell>
          <cell r="S271">
            <v>0</v>
          </cell>
        </row>
        <row r="272">
          <cell r="Q272">
            <v>342916.66666666698</v>
          </cell>
          <cell r="R272">
            <v>205750</v>
          </cell>
          <cell r="S272">
            <v>0</v>
          </cell>
        </row>
        <row r="273">
          <cell r="Q273">
            <v>0</v>
          </cell>
          <cell r="R273">
            <v>0</v>
          </cell>
          <cell r="S273">
            <v>0</v>
          </cell>
        </row>
        <row r="274">
          <cell r="Q274">
            <v>0</v>
          </cell>
          <cell r="R274">
            <v>0</v>
          </cell>
          <cell r="S274">
            <v>0</v>
          </cell>
        </row>
        <row r="275">
          <cell r="Q275">
            <v>0</v>
          </cell>
          <cell r="R275">
            <v>0</v>
          </cell>
          <cell r="S275">
            <v>0</v>
          </cell>
        </row>
        <row r="276">
          <cell r="Q276">
            <v>0</v>
          </cell>
          <cell r="R276">
            <v>0</v>
          </cell>
          <cell r="S276">
            <v>0</v>
          </cell>
        </row>
        <row r="277">
          <cell r="Q277">
            <v>250000</v>
          </cell>
          <cell r="R277">
            <v>150000</v>
          </cell>
          <cell r="S277">
            <v>0</v>
          </cell>
        </row>
        <row r="278">
          <cell r="Q278">
            <v>333333.33333333302</v>
          </cell>
          <cell r="R278">
            <v>200000</v>
          </cell>
          <cell r="S278">
            <v>0</v>
          </cell>
        </row>
        <row r="279">
          <cell r="Q279">
            <v>0</v>
          </cell>
          <cell r="R279">
            <v>0</v>
          </cell>
          <cell r="S279">
            <v>0</v>
          </cell>
        </row>
        <row r="280">
          <cell r="Q280">
            <v>0</v>
          </cell>
          <cell r="R280">
            <v>0</v>
          </cell>
          <cell r="S280">
            <v>0</v>
          </cell>
        </row>
        <row r="281">
          <cell r="Q281">
            <v>0</v>
          </cell>
          <cell r="R281">
            <v>0</v>
          </cell>
          <cell r="S281">
            <v>0</v>
          </cell>
        </row>
        <row r="282">
          <cell r="Q282">
            <v>0</v>
          </cell>
          <cell r="R282">
            <v>0</v>
          </cell>
          <cell r="S282">
            <v>0</v>
          </cell>
        </row>
        <row r="283">
          <cell r="Q283">
            <v>0</v>
          </cell>
          <cell r="R283">
            <v>0</v>
          </cell>
          <cell r="S283">
            <v>0</v>
          </cell>
        </row>
        <row r="284">
          <cell r="Q284">
            <v>121666.66666666701</v>
          </cell>
          <cell r="R284">
            <v>73000</v>
          </cell>
          <cell r="S284">
            <v>0</v>
          </cell>
        </row>
        <row r="285">
          <cell r="Q285">
            <v>0</v>
          </cell>
          <cell r="R285">
            <v>0</v>
          </cell>
          <cell r="S285">
            <v>0</v>
          </cell>
        </row>
        <row r="286">
          <cell r="Q286">
            <v>0</v>
          </cell>
          <cell r="R286">
            <v>0</v>
          </cell>
          <cell r="S286">
            <v>0</v>
          </cell>
        </row>
        <row r="287">
          <cell r="Q287">
            <v>0</v>
          </cell>
          <cell r="R287">
            <v>0</v>
          </cell>
          <cell r="S287">
            <v>0</v>
          </cell>
        </row>
        <row r="288">
          <cell r="Q288">
            <v>0</v>
          </cell>
          <cell r="R288">
            <v>0</v>
          </cell>
          <cell r="S288">
            <v>0</v>
          </cell>
        </row>
        <row r="289">
          <cell r="Q289">
            <v>129166.66666666701</v>
          </cell>
          <cell r="R289">
            <v>77500</v>
          </cell>
          <cell r="S289">
            <v>0</v>
          </cell>
        </row>
        <row r="290">
          <cell r="Q290">
            <v>0</v>
          </cell>
          <cell r="R290">
            <v>0</v>
          </cell>
          <cell r="S290">
            <v>0</v>
          </cell>
        </row>
        <row r="291">
          <cell r="Q291">
            <v>0</v>
          </cell>
          <cell r="R291">
            <v>0</v>
          </cell>
          <cell r="S291">
            <v>0</v>
          </cell>
        </row>
        <row r="292">
          <cell r="Q292">
            <v>-0.333333333313931</v>
          </cell>
          <cell r="R292">
            <v>0</v>
          </cell>
          <cell r="S292">
            <v>0</v>
          </cell>
        </row>
        <row r="293">
          <cell r="Q293">
            <v>229166.66666666701</v>
          </cell>
          <cell r="R293">
            <v>137500</v>
          </cell>
          <cell r="S293">
            <v>0</v>
          </cell>
        </row>
        <row r="294">
          <cell r="Q294">
            <v>0</v>
          </cell>
          <cell r="R294">
            <v>0</v>
          </cell>
          <cell r="S294">
            <v>0</v>
          </cell>
        </row>
        <row r="296">
          <cell r="Q296">
            <v>0</v>
          </cell>
          <cell r="R296">
            <v>0</v>
          </cell>
          <cell r="S296">
            <v>0</v>
          </cell>
        </row>
        <row r="297">
          <cell r="Q297">
            <v>0</v>
          </cell>
          <cell r="R297">
            <v>0</v>
          </cell>
          <cell r="S297">
            <v>0</v>
          </cell>
        </row>
        <row r="298">
          <cell r="Q298">
            <v>0</v>
          </cell>
          <cell r="R298">
            <v>0</v>
          </cell>
          <cell r="S298">
            <v>0</v>
          </cell>
        </row>
        <row r="299">
          <cell r="Q299">
            <v>541666.66666666698</v>
          </cell>
          <cell r="R299">
            <v>325000</v>
          </cell>
          <cell r="S299">
            <v>0</v>
          </cell>
        </row>
        <row r="301">
          <cell r="Q301">
            <v>-0.333333333313931</v>
          </cell>
          <cell r="R301">
            <v>0</v>
          </cell>
          <cell r="S301">
            <v>0</v>
          </cell>
        </row>
        <row r="302">
          <cell r="Q302">
            <v>0</v>
          </cell>
          <cell r="R302">
            <v>0</v>
          </cell>
          <cell r="S302">
            <v>0</v>
          </cell>
        </row>
        <row r="303">
          <cell r="Q303">
            <v>0</v>
          </cell>
          <cell r="R303">
            <v>0</v>
          </cell>
          <cell r="S303">
            <v>0</v>
          </cell>
        </row>
        <row r="304">
          <cell r="Q304">
            <v>0</v>
          </cell>
          <cell r="R304">
            <v>0</v>
          </cell>
          <cell r="S304">
            <v>0</v>
          </cell>
        </row>
        <row r="305">
          <cell r="Q305">
            <v>0</v>
          </cell>
          <cell r="R305">
            <v>0</v>
          </cell>
          <cell r="S305">
            <v>0</v>
          </cell>
        </row>
        <row r="306">
          <cell r="Q306">
            <v>0</v>
          </cell>
          <cell r="R306">
            <v>0</v>
          </cell>
          <cell r="S306">
            <v>0</v>
          </cell>
        </row>
        <row r="307">
          <cell r="Q307">
            <v>0</v>
          </cell>
          <cell r="R307">
            <v>0</v>
          </cell>
          <cell r="S307">
            <v>0</v>
          </cell>
        </row>
        <row r="308">
          <cell r="Q308">
            <v>408333.33333333302</v>
          </cell>
          <cell r="R308">
            <v>245000</v>
          </cell>
          <cell r="S308">
            <v>0</v>
          </cell>
        </row>
        <row r="309">
          <cell r="Q309">
            <v>0.33333333332848297</v>
          </cell>
          <cell r="R309">
            <v>0</v>
          </cell>
          <cell r="S309">
            <v>0</v>
          </cell>
        </row>
        <row r="310">
          <cell r="Q310">
            <v>581250</v>
          </cell>
          <cell r="R310">
            <v>307554</v>
          </cell>
          <cell r="S310">
            <v>0</v>
          </cell>
        </row>
        <row r="311">
          <cell r="Q311">
            <v>0</v>
          </cell>
          <cell r="R311">
            <v>0</v>
          </cell>
          <cell r="S311">
            <v>0</v>
          </cell>
        </row>
        <row r="312">
          <cell r="Q312">
            <v>0</v>
          </cell>
          <cell r="R312">
            <v>0</v>
          </cell>
          <cell r="S312">
            <v>0</v>
          </cell>
        </row>
        <row r="313">
          <cell r="Q313">
            <v>0</v>
          </cell>
          <cell r="R313">
            <v>0</v>
          </cell>
          <cell r="S313">
            <v>0</v>
          </cell>
        </row>
        <row r="314">
          <cell r="Q314">
            <v>0.33333333332848297</v>
          </cell>
          <cell r="R314">
            <v>0</v>
          </cell>
          <cell r="S314">
            <v>0</v>
          </cell>
        </row>
        <row r="315">
          <cell r="Q315">
            <v>0</v>
          </cell>
          <cell r="R315">
            <v>0</v>
          </cell>
          <cell r="S315">
            <v>0</v>
          </cell>
        </row>
        <row r="316">
          <cell r="Q316">
            <v>0.33333333332848297</v>
          </cell>
          <cell r="R316">
            <v>0</v>
          </cell>
          <cell r="S316">
            <v>0</v>
          </cell>
        </row>
        <row r="317">
          <cell r="Q317">
            <v>-0.333333333313931</v>
          </cell>
          <cell r="R317">
            <v>0</v>
          </cell>
          <cell r="S317">
            <v>0</v>
          </cell>
        </row>
        <row r="318">
          <cell r="Q318">
            <v>0</v>
          </cell>
          <cell r="R318">
            <v>0</v>
          </cell>
          <cell r="S318">
            <v>0</v>
          </cell>
        </row>
        <row r="319">
          <cell r="Q319">
            <v>0</v>
          </cell>
          <cell r="R319">
            <v>0</v>
          </cell>
          <cell r="S319">
            <v>0</v>
          </cell>
        </row>
        <row r="320">
          <cell r="Q320">
            <v>0</v>
          </cell>
          <cell r="R320">
            <v>0</v>
          </cell>
          <cell r="S320">
            <v>0</v>
          </cell>
        </row>
        <row r="321">
          <cell r="Q321">
            <v>0</v>
          </cell>
          <cell r="R321">
            <v>0</v>
          </cell>
          <cell r="S321">
            <v>0</v>
          </cell>
        </row>
        <row r="322">
          <cell r="Q322">
            <v>0</v>
          </cell>
          <cell r="R322">
            <v>0</v>
          </cell>
          <cell r="S322">
            <v>0</v>
          </cell>
        </row>
        <row r="323">
          <cell r="Q323">
            <v>0</v>
          </cell>
          <cell r="R323">
            <v>0</v>
          </cell>
          <cell r="S323">
            <v>0</v>
          </cell>
        </row>
        <row r="324">
          <cell r="Q324">
            <v>-0.333333333343035</v>
          </cell>
          <cell r="R324">
            <v>0</v>
          </cell>
          <cell r="S324">
            <v>0</v>
          </cell>
        </row>
        <row r="325">
          <cell r="Q325">
            <v>0.33333333332848297</v>
          </cell>
          <cell r="R325">
            <v>0</v>
          </cell>
          <cell r="S325">
            <v>0</v>
          </cell>
        </row>
        <row r="326">
          <cell r="Q326">
            <v>3.3333332976326298E-4</v>
          </cell>
          <cell r="R326">
            <v>0</v>
          </cell>
          <cell r="S326">
            <v>0</v>
          </cell>
        </row>
        <row r="327">
          <cell r="Q327">
            <v>0</v>
          </cell>
          <cell r="R327">
            <v>0</v>
          </cell>
          <cell r="S327">
            <v>0</v>
          </cell>
        </row>
        <row r="328">
          <cell r="Q328">
            <v>0</v>
          </cell>
          <cell r="R328">
            <v>0</v>
          </cell>
          <cell r="S328">
            <v>0</v>
          </cell>
        </row>
        <row r="329">
          <cell r="Q329">
            <v>0</v>
          </cell>
          <cell r="R329">
            <v>0</v>
          </cell>
          <cell r="S329">
            <v>0</v>
          </cell>
        </row>
        <row r="330">
          <cell r="Q330">
            <v>355416.66666666698</v>
          </cell>
          <cell r="R330">
            <v>213250</v>
          </cell>
          <cell r="S330">
            <v>0</v>
          </cell>
        </row>
        <row r="331">
          <cell r="Q331">
            <v>0</v>
          </cell>
          <cell r="R331">
            <v>0</v>
          </cell>
          <cell r="S331">
            <v>0</v>
          </cell>
        </row>
        <row r="332">
          <cell r="Q332">
            <v>65000</v>
          </cell>
          <cell r="R332">
            <v>39000</v>
          </cell>
          <cell r="S332">
            <v>0</v>
          </cell>
        </row>
        <row r="333">
          <cell r="Q333">
            <v>145833.33333333299</v>
          </cell>
          <cell r="R333">
            <v>87500</v>
          </cell>
          <cell r="S333">
            <v>0</v>
          </cell>
        </row>
        <row r="334">
          <cell r="Q334">
            <v>354166.66666666698</v>
          </cell>
          <cell r="R334">
            <v>212500</v>
          </cell>
          <cell r="S334">
            <v>0</v>
          </cell>
        </row>
        <row r="335">
          <cell r="Q335">
            <v>0</v>
          </cell>
          <cell r="R335">
            <v>0</v>
          </cell>
          <cell r="S335">
            <v>0</v>
          </cell>
        </row>
        <row r="336">
          <cell r="Q336">
            <v>-0.333333333313931</v>
          </cell>
          <cell r="R336">
            <v>0</v>
          </cell>
          <cell r="S336">
            <v>0</v>
          </cell>
        </row>
        <row r="337">
          <cell r="Q337">
            <v>0</v>
          </cell>
          <cell r="R337">
            <v>0</v>
          </cell>
          <cell r="S337">
            <v>0</v>
          </cell>
        </row>
        <row r="338">
          <cell r="Q338">
            <v>0</v>
          </cell>
          <cell r="R338">
            <v>0</v>
          </cell>
          <cell r="S338">
            <v>0</v>
          </cell>
        </row>
        <row r="339">
          <cell r="Q339">
            <v>0</v>
          </cell>
          <cell r="R339">
            <v>0</v>
          </cell>
          <cell r="S339">
            <v>0</v>
          </cell>
        </row>
        <row r="340">
          <cell r="Q340">
            <v>208333.33333333299</v>
          </cell>
          <cell r="R340">
            <v>125000</v>
          </cell>
          <cell r="S340">
            <v>0</v>
          </cell>
        </row>
        <row r="341">
          <cell r="Q341">
            <v>0</v>
          </cell>
          <cell r="R341">
            <v>0</v>
          </cell>
          <cell r="S341">
            <v>0</v>
          </cell>
        </row>
        <row r="342">
          <cell r="Q342">
            <v>0</v>
          </cell>
          <cell r="R342">
            <v>0</v>
          </cell>
          <cell r="S342">
            <v>0</v>
          </cell>
        </row>
        <row r="343">
          <cell r="Q343">
            <v>285416.66666666698</v>
          </cell>
          <cell r="R343">
            <v>171250</v>
          </cell>
          <cell r="S343">
            <v>0</v>
          </cell>
        </row>
        <row r="344">
          <cell r="Q344">
            <v>0</v>
          </cell>
          <cell r="R344">
            <v>0</v>
          </cell>
          <cell r="S344">
            <v>0</v>
          </cell>
        </row>
        <row r="345">
          <cell r="Q345">
            <v>0</v>
          </cell>
          <cell r="R345">
            <v>0</v>
          </cell>
          <cell r="S345">
            <v>0</v>
          </cell>
        </row>
        <row r="346">
          <cell r="Q346">
            <v>0</v>
          </cell>
          <cell r="R346">
            <v>0</v>
          </cell>
          <cell r="S346">
            <v>0</v>
          </cell>
        </row>
        <row r="347">
          <cell r="Q347">
            <v>0</v>
          </cell>
          <cell r="R347">
            <v>0</v>
          </cell>
          <cell r="S347">
            <v>0</v>
          </cell>
        </row>
        <row r="348">
          <cell r="Q348">
            <v>275833.33333333302</v>
          </cell>
          <cell r="R348">
            <v>165500</v>
          </cell>
          <cell r="S348">
            <v>0</v>
          </cell>
        </row>
        <row r="349">
          <cell r="Q349">
            <v>0.333333333343035</v>
          </cell>
          <cell r="R349">
            <v>0</v>
          </cell>
          <cell r="S349">
            <v>0</v>
          </cell>
        </row>
        <row r="350">
          <cell r="Q350">
            <v>0</v>
          </cell>
          <cell r="R350">
            <v>0</v>
          </cell>
          <cell r="S350">
            <v>0</v>
          </cell>
        </row>
        <row r="351">
          <cell r="Q351">
            <v>0</v>
          </cell>
          <cell r="R351">
            <v>0</v>
          </cell>
          <cell r="S351">
            <v>0</v>
          </cell>
        </row>
        <row r="352">
          <cell r="Q352">
            <v>0</v>
          </cell>
          <cell r="R352">
            <v>0</v>
          </cell>
          <cell r="S352">
            <v>0</v>
          </cell>
        </row>
        <row r="353">
          <cell r="Q353">
            <v>0.333333333313931</v>
          </cell>
          <cell r="R353">
            <v>0</v>
          </cell>
          <cell r="S353">
            <v>0</v>
          </cell>
        </row>
        <row r="354">
          <cell r="Q354">
            <v>0</v>
          </cell>
          <cell r="R354">
            <v>0</v>
          </cell>
          <cell r="S354">
            <v>0</v>
          </cell>
        </row>
        <row r="355">
          <cell r="Q355">
            <v>0</v>
          </cell>
          <cell r="R355">
            <v>0</v>
          </cell>
          <cell r="S355">
            <v>0</v>
          </cell>
        </row>
        <row r="356">
          <cell r="Q356">
            <v>4.65661287307739E-10</v>
          </cell>
          <cell r="R356">
            <v>0</v>
          </cell>
          <cell r="S356">
            <v>0</v>
          </cell>
        </row>
        <row r="357">
          <cell r="Q357">
            <v>0</v>
          </cell>
          <cell r="R357">
            <v>0</v>
          </cell>
          <cell r="S357">
            <v>0</v>
          </cell>
        </row>
        <row r="358">
          <cell r="Q358">
            <v>0</v>
          </cell>
          <cell r="R358">
            <v>0</v>
          </cell>
          <cell r="S358">
            <v>0</v>
          </cell>
        </row>
        <row r="359">
          <cell r="Q359">
            <v>0</v>
          </cell>
          <cell r="R359">
            <v>0</v>
          </cell>
          <cell r="S359">
            <v>0</v>
          </cell>
        </row>
        <row r="360">
          <cell r="Q360">
            <v>0</v>
          </cell>
          <cell r="R360">
            <v>0</v>
          </cell>
          <cell r="S360">
            <v>0</v>
          </cell>
        </row>
        <row r="361">
          <cell r="Q361">
            <v>0</v>
          </cell>
          <cell r="R361">
            <v>0</v>
          </cell>
          <cell r="S361">
            <v>0</v>
          </cell>
        </row>
        <row r="362">
          <cell r="Q362">
            <v>0.111111111109494</v>
          </cell>
          <cell r="R362">
            <v>0</v>
          </cell>
          <cell r="S362">
            <v>0</v>
          </cell>
        </row>
        <row r="363">
          <cell r="Q363">
            <v>0</v>
          </cell>
          <cell r="R363">
            <v>0</v>
          </cell>
          <cell r="S363">
            <v>0</v>
          </cell>
        </row>
        <row r="364">
          <cell r="Q364">
            <v>0</v>
          </cell>
          <cell r="R364">
            <v>0</v>
          </cell>
          <cell r="S364">
            <v>0</v>
          </cell>
        </row>
        <row r="365">
          <cell r="Q365">
            <v>375000</v>
          </cell>
          <cell r="R365">
            <v>225000</v>
          </cell>
          <cell r="S365">
            <v>0</v>
          </cell>
        </row>
        <row r="366">
          <cell r="Q366">
            <v>-0.333333333372138</v>
          </cell>
          <cell r="R366">
            <v>0</v>
          </cell>
          <cell r="S366">
            <v>0</v>
          </cell>
        </row>
        <row r="367">
          <cell r="Q367">
            <v>0</v>
          </cell>
          <cell r="R367">
            <v>0</v>
          </cell>
          <cell r="S367">
            <v>0</v>
          </cell>
        </row>
        <row r="368">
          <cell r="Q368">
            <v>0</v>
          </cell>
          <cell r="R368">
            <v>0</v>
          </cell>
          <cell r="S368">
            <v>0</v>
          </cell>
        </row>
        <row r="369">
          <cell r="Q369">
            <v>0</v>
          </cell>
          <cell r="R369">
            <v>0</v>
          </cell>
          <cell r="S369">
            <v>0</v>
          </cell>
        </row>
        <row r="370">
          <cell r="Q370">
            <v>0</v>
          </cell>
          <cell r="R370">
            <v>0</v>
          </cell>
          <cell r="S370">
            <v>0</v>
          </cell>
        </row>
        <row r="371">
          <cell r="Q371">
            <v>167500</v>
          </cell>
          <cell r="R371">
            <v>180900</v>
          </cell>
          <cell r="S371">
            <v>0</v>
          </cell>
        </row>
        <row r="372">
          <cell r="Q372">
            <v>0</v>
          </cell>
          <cell r="R372">
            <v>0</v>
          </cell>
          <cell r="S372">
            <v>0</v>
          </cell>
        </row>
        <row r="373">
          <cell r="Q373">
            <v>0</v>
          </cell>
          <cell r="R373">
            <v>0</v>
          </cell>
          <cell r="S373">
            <v>0</v>
          </cell>
        </row>
        <row r="374">
          <cell r="Q374">
            <v>0</v>
          </cell>
          <cell r="R374">
            <v>0</v>
          </cell>
          <cell r="S374">
            <v>0</v>
          </cell>
        </row>
        <row r="375">
          <cell r="Q375">
            <v>0</v>
          </cell>
          <cell r="R375">
            <v>0</v>
          </cell>
          <cell r="S375">
            <v>0</v>
          </cell>
        </row>
        <row r="376">
          <cell r="Q376">
            <v>0</v>
          </cell>
          <cell r="R376">
            <v>0</v>
          </cell>
          <cell r="S376">
            <v>0</v>
          </cell>
        </row>
        <row r="377">
          <cell r="Q377">
            <v>0</v>
          </cell>
          <cell r="R377">
            <v>0</v>
          </cell>
          <cell r="S377">
            <v>0</v>
          </cell>
        </row>
        <row r="378">
          <cell r="Q378">
            <v>0</v>
          </cell>
          <cell r="R378">
            <v>0</v>
          </cell>
          <cell r="S378">
            <v>0</v>
          </cell>
        </row>
        <row r="379">
          <cell r="Q379">
            <v>0</v>
          </cell>
          <cell r="R379">
            <v>0</v>
          </cell>
          <cell r="S379">
            <v>0</v>
          </cell>
        </row>
        <row r="380">
          <cell r="Q380">
            <v>0</v>
          </cell>
          <cell r="R380">
            <v>0</v>
          </cell>
          <cell r="S380">
            <v>0</v>
          </cell>
        </row>
        <row r="381">
          <cell r="Q381">
            <v>0</v>
          </cell>
          <cell r="R381">
            <v>0</v>
          </cell>
          <cell r="S381">
            <v>0</v>
          </cell>
        </row>
        <row r="382">
          <cell r="Q382">
            <v>0</v>
          </cell>
          <cell r="R382">
            <v>0</v>
          </cell>
          <cell r="S382">
            <v>0</v>
          </cell>
        </row>
        <row r="383">
          <cell r="Q383">
            <v>0</v>
          </cell>
          <cell r="R383">
            <v>0</v>
          </cell>
          <cell r="S383">
            <v>0</v>
          </cell>
        </row>
        <row r="384">
          <cell r="Q384">
            <v>-0.22222222224809199</v>
          </cell>
          <cell r="R384">
            <v>0</v>
          </cell>
          <cell r="S384">
            <v>0</v>
          </cell>
        </row>
        <row r="385">
          <cell r="Q385">
            <v>0</v>
          </cell>
          <cell r="R385">
            <v>0</v>
          </cell>
          <cell r="S385">
            <v>0</v>
          </cell>
        </row>
        <row r="386">
          <cell r="Q386">
            <v>0</v>
          </cell>
          <cell r="R386">
            <v>0</v>
          </cell>
          <cell r="S386">
            <v>0</v>
          </cell>
        </row>
        <row r="387">
          <cell r="Q387">
            <v>0.222222222364508</v>
          </cell>
          <cell r="R387">
            <v>0</v>
          </cell>
          <cell r="S387">
            <v>0</v>
          </cell>
        </row>
        <row r="388">
          <cell r="Q388">
            <v>0</v>
          </cell>
          <cell r="R388">
            <v>0</v>
          </cell>
          <cell r="S388">
            <v>0</v>
          </cell>
        </row>
        <row r="389">
          <cell r="Q389">
            <v>0</v>
          </cell>
          <cell r="R389">
            <v>0</v>
          </cell>
          <cell r="S389">
            <v>0</v>
          </cell>
        </row>
        <row r="390">
          <cell r="Q390">
            <v>0.22222222221898799</v>
          </cell>
          <cell r="R390">
            <v>0</v>
          </cell>
          <cell r="S390">
            <v>0</v>
          </cell>
        </row>
        <row r="391">
          <cell r="Q391">
            <v>0.33777777774957901</v>
          </cell>
          <cell r="R391">
            <v>0</v>
          </cell>
          <cell r="S391">
            <v>0</v>
          </cell>
        </row>
        <row r="392">
          <cell r="Q392">
            <v>0.444444444445253</v>
          </cell>
          <cell r="R392">
            <v>0</v>
          </cell>
          <cell r="S392">
            <v>0</v>
          </cell>
        </row>
        <row r="393">
          <cell r="Q393">
            <v>0</v>
          </cell>
          <cell r="R393">
            <v>0</v>
          </cell>
          <cell r="S393">
            <v>0</v>
          </cell>
        </row>
        <row r="394">
          <cell r="Q394">
            <v>0</v>
          </cell>
          <cell r="R394">
            <v>0</v>
          </cell>
          <cell r="S394">
            <v>0</v>
          </cell>
        </row>
        <row r="395">
          <cell r="Q395">
            <v>0</v>
          </cell>
          <cell r="R395">
            <v>0</v>
          </cell>
          <cell r="S395">
            <v>0</v>
          </cell>
        </row>
        <row r="396">
          <cell r="Q396">
            <v>0</v>
          </cell>
          <cell r="R396">
            <v>0</v>
          </cell>
          <cell r="S396">
            <v>0</v>
          </cell>
        </row>
        <row r="397">
          <cell r="Q397">
            <v>-0.444444444445253</v>
          </cell>
          <cell r="R397">
            <v>0</v>
          </cell>
          <cell r="S397">
            <v>0</v>
          </cell>
        </row>
        <row r="398">
          <cell r="Q398">
            <v>0</v>
          </cell>
          <cell r="R398">
            <v>0</v>
          </cell>
          <cell r="S398">
            <v>0</v>
          </cell>
        </row>
        <row r="399">
          <cell r="Q399">
            <v>0</v>
          </cell>
          <cell r="R399">
            <v>0</v>
          </cell>
          <cell r="S399">
            <v>0</v>
          </cell>
        </row>
        <row r="400">
          <cell r="Q400">
            <v>0</v>
          </cell>
          <cell r="R400">
            <v>0</v>
          </cell>
          <cell r="S400">
            <v>0</v>
          </cell>
        </row>
        <row r="401">
          <cell r="Q401">
            <v>0</v>
          </cell>
          <cell r="R401">
            <v>0</v>
          </cell>
          <cell r="S401">
            <v>0</v>
          </cell>
        </row>
        <row r="402">
          <cell r="Q402">
            <v>-0.22222222224809199</v>
          </cell>
          <cell r="R402">
            <v>0</v>
          </cell>
          <cell r="S402">
            <v>0</v>
          </cell>
        </row>
        <row r="403">
          <cell r="Q403">
            <v>3553</v>
          </cell>
          <cell r="R403">
            <v>0</v>
          </cell>
          <cell r="S403">
            <v>0</v>
          </cell>
        </row>
        <row r="404">
          <cell r="Q404">
            <v>-0.333333333313931</v>
          </cell>
          <cell r="R404">
            <v>0</v>
          </cell>
          <cell r="S404">
            <v>0</v>
          </cell>
        </row>
        <row r="405">
          <cell r="Q405">
            <v>0</v>
          </cell>
          <cell r="R405">
            <v>0</v>
          </cell>
          <cell r="S405">
            <v>0</v>
          </cell>
        </row>
        <row r="406">
          <cell r="Q406">
            <v>0.44444444443797698</v>
          </cell>
          <cell r="R406">
            <v>0</v>
          </cell>
          <cell r="S406">
            <v>0</v>
          </cell>
        </row>
        <row r="407">
          <cell r="Q407">
            <v>250000</v>
          </cell>
          <cell r="R407">
            <v>180000</v>
          </cell>
          <cell r="S407">
            <v>0</v>
          </cell>
        </row>
        <row r="408">
          <cell r="Q408">
            <v>228055.555555556</v>
          </cell>
          <cell r="R408">
            <v>246300</v>
          </cell>
          <cell r="S408">
            <v>0</v>
          </cell>
        </row>
        <row r="409">
          <cell r="Q409">
            <v>-0.333333333343035</v>
          </cell>
          <cell r="R409">
            <v>0</v>
          </cell>
          <cell r="S409">
            <v>0</v>
          </cell>
        </row>
        <row r="410">
          <cell r="Q410">
            <v>0</v>
          </cell>
          <cell r="R410">
            <v>0</v>
          </cell>
          <cell r="S410">
            <v>0</v>
          </cell>
        </row>
        <row r="411">
          <cell r="Q411">
            <v>177777.77777777801</v>
          </cell>
          <cell r="R411">
            <v>59330</v>
          </cell>
          <cell r="S411">
            <v>0</v>
          </cell>
        </row>
        <row r="412">
          <cell r="Q412">
            <v>0</v>
          </cell>
          <cell r="R412">
            <v>0</v>
          </cell>
          <cell r="S412">
            <v>0</v>
          </cell>
        </row>
        <row r="413">
          <cell r="Q413">
            <v>0</v>
          </cell>
          <cell r="R413">
            <v>0</v>
          </cell>
          <cell r="S413">
            <v>0</v>
          </cell>
        </row>
        <row r="414">
          <cell r="Q414">
            <v>0</v>
          </cell>
          <cell r="R414">
            <v>0</v>
          </cell>
          <cell r="S414">
            <v>0</v>
          </cell>
        </row>
        <row r="415">
          <cell r="Q415">
            <v>-0.333333333313931</v>
          </cell>
          <cell r="R415">
            <v>0</v>
          </cell>
          <cell r="S415">
            <v>0</v>
          </cell>
        </row>
        <row r="416">
          <cell r="Q416">
            <v>0</v>
          </cell>
          <cell r="R416">
            <v>0</v>
          </cell>
          <cell r="S416">
            <v>0</v>
          </cell>
        </row>
        <row r="417">
          <cell r="Q417">
            <v>0</v>
          </cell>
          <cell r="R417">
            <v>0</v>
          </cell>
          <cell r="S417">
            <v>0</v>
          </cell>
        </row>
        <row r="418">
          <cell r="Q418">
            <v>0</v>
          </cell>
          <cell r="R418">
            <v>0</v>
          </cell>
          <cell r="S418">
            <v>0</v>
          </cell>
        </row>
        <row r="419">
          <cell r="Q419">
            <v>0</v>
          </cell>
          <cell r="R419">
            <v>0</v>
          </cell>
          <cell r="S419">
            <v>0</v>
          </cell>
        </row>
        <row r="420">
          <cell r="Q420">
            <v>270833.33333333302</v>
          </cell>
          <cell r="R420">
            <v>292500</v>
          </cell>
          <cell r="S420">
            <v>0</v>
          </cell>
        </row>
        <row r="421">
          <cell r="Q421">
            <v>91666.666666666701</v>
          </cell>
          <cell r="R421">
            <v>99000</v>
          </cell>
          <cell r="S421">
            <v>0</v>
          </cell>
        </row>
        <row r="422">
          <cell r="Q422">
            <v>0</v>
          </cell>
          <cell r="R422">
            <v>0</v>
          </cell>
          <cell r="S422">
            <v>0</v>
          </cell>
        </row>
        <row r="423">
          <cell r="Q423">
            <v>0</v>
          </cell>
          <cell r="R423">
            <v>0</v>
          </cell>
          <cell r="S423">
            <v>0</v>
          </cell>
        </row>
        <row r="424">
          <cell r="Q424">
            <v>0</v>
          </cell>
          <cell r="R424">
            <v>0</v>
          </cell>
          <cell r="S424">
            <v>0</v>
          </cell>
        </row>
        <row r="425">
          <cell r="Q425">
            <v>-0.11111111112404599</v>
          </cell>
          <cell r="R425">
            <v>0</v>
          </cell>
          <cell r="S425">
            <v>0</v>
          </cell>
        </row>
        <row r="426">
          <cell r="Q426">
            <v>0</v>
          </cell>
          <cell r="R426">
            <v>0</v>
          </cell>
          <cell r="S426">
            <v>0</v>
          </cell>
        </row>
        <row r="427">
          <cell r="Q427">
            <v>0</v>
          </cell>
          <cell r="R427">
            <v>0</v>
          </cell>
          <cell r="S427">
            <v>0</v>
          </cell>
        </row>
        <row r="429">
          <cell r="Q429">
            <v>0</v>
          </cell>
          <cell r="R429">
            <v>0</v>
          </cell>
          <cell r="S429">
            <v>0</v>
          </cell>
        </row>
        <row r="430">
          <cell r="Q430">
            <v>0</v>
          </cell>
          <cell r="R430">
            <v>0</v>
          </cell>
          <cell r="S430">
            <v>0</v>
          </cell>
        </row>
        <row r="431">
          <cell r="Q431">
            <v>361111.11111111101</v>
          </cell>
          <cell r="R431">
            <v>390000</v>
          </cell>
          <cell r="S431">
            <v>0</v>
          </cell>
        </row>
        <row r="432">
          <cell r="Q432">
            <v>0</v>
          </cell>
          <cell r="R432">
            <v>0</v>
          </cell>
          <cell r="S432">
            <v>0</v>
          </cell>
        </row>
        <row r="433">
          <cell r="Q433">
            <v>-0.111111111240461</v>
          </cell>
          <cell r="R433">
            <v>0</v>
          </cell>
          <cell r="S433">
            <v>0</v>
          </cell>
        </row>
        <row r="434">
          <cell r="Q434">
            <v>0</v>
          </cell>
          <cell r="R434">
            <v>0</v>
          </cell>
          <cell r="S434">
            <v>0</v>
          </cell>
        </row>
        <row r="435">
          <cell r="Q435">
            <v>0</v>
          </cell>
          <cell r="R435">
            <v>0</v>
          </cell>
          <cell r="S435">
            <v>0</v>
          </cell>
        </row>
        <row r="436">
          <cell r="Q436">
            <v>0</v>
          </cell>
          <cell r="R436">
            <v>0</v>
          </cell>
          <cell r="S436">
            <v>0</v>
          </cell>
        </row>
        <row r="437">
          <cell r="Q437">
            <v>0</v>
          </cell>
          <cell r="R437">
            <v>0</v>
          </cell>
          <cell r="S437">
            <v>0</v>
          </cell>
        </row>
        <row r="438">
          <cell r="Q438">
            <v>0</v>
          </cell>
          <cell r="R438">
            <v>0</v>
          </cell>
          <cell r="S438">
            <v>0</v>
          </cell>
        </row>
        <row r="439">
          <cell r="Q439">
            <v>0</v>
          </cell>
          <cell r="R439">
            <v>0</v>
          </cell>
          <cell r="S439">
            <v>0</v>
          </cell>
        </row>
        <row r="440">
          <cell r="Q440">
            <v>0</v>
          </cell>
          <cell r="R440">
            <v>0</v>
          </cell>
          <cell r="S440">
            <v>0</v>
          </cell>
        </row>
        <row r="441">
          <cell r="Q441">
            <v>0</v>
          </cell>
          <cell r="R441">
            <v>0</v>
          </cell>
          <cell r="S441">
            <v>0</v>
          </cell>
        </row>
        <row r="442">
          <cell r="Q442">
            <v>0</v>
          </cell>
          <cell r="R442">
            <v>0</v>
          </cell>
          <cell r="S442">
            <v>0</v>
          </cell>
        </row>
        <row r="443">
          <cell r="Q443">
            <v>0</v>
          </cell>
          <cell r="R443">
            <v>0</v>
          </cell>
          <cell r="S443">
            <v>0</v>
          </cell>
        </row>
        <row r="444">
          <cell r="Q444">
            <v>0</v>
          </cell>
          <cell r="R444">
            <v>0</v>
          </cell>
          <cell r="S444">
            <v>0</v>
          </cell>
        </row>
        <row r="445">
          <cell r="Q445">
            <v>0</v>
          </cell>
          <cell r="R445">
            <v>0</v>
          </cell>
          <cell r="S445">
            <v>0</v>
          </cell>
        </row>
        <row r="446">
          <cell r="Q446">
            <v>0</v>
          </cell>
          <cell r="R446">
            <v>0</v>
          </cell>
          <cell r="S446">
            <v>0</v>
          </cell>
        </row>
        <row r="447">
          <cell r="Q447">
            <v>0</v>
          </cell>
          <cell r="R447">
            <v>0</v>
          </cell>
          <cell r="S447">
            <v>0</v>
          </cell>
        </row>
        <row r="448">
          <cell r="Q448">
            <v>0</v>
          </cell>
          <cell r="R448">
            <v>0</v>
          </cell>
          <cell r="S448">
            <v>0</v>
          </cell>
        </row>
        <row r="449">
          <cell r="Q449">
            <v>0.33333333261543902</v>
          </cell>
          <cell r="R449">
            <v>0</v>
          </cell>
          <cell r="S449">
            <v>0</v>
          </cell>
        </row>
        <row r="450">
          <cell r="Q450">
            <v>5.5555554572492803E-3</v>
          </cell>
          <cell r="R450">
            <v>0</v>
          </cell>
          <cell r="S450">
            <v>0</v>
          </cell>
        </row>
        <row r="451">
          <cell r="Q451">
            <v>0</v>
          </cell>
          <cell r="R451">
            <v>0</v>
          </cell>
          <cell r="S451">
            <v>0</v>
          </cell>
        </row>
        <row r="452">
          <cell r="Q452">
            <v>0.11111111112404599</v>
          </cell>
          <cell r="R452">
            <v>0</v>
          </cell>
          <cell r="S452">
            <v>0</v>
          </cell>
        </row>
        <row r="453">
          <cell r="Q453">
            <v>-0.111111111240461</v>
          </cell>
          <cell r="R453">
            <v>0</v>
          </cell>
          <cell r="S453">
            <v>0</v>
          </cell>
        </row>
        <row r="454">
          <cell r="Q454">
            <v>0.222222222422715</v>
          </cell>
          <cell r="R454">
            <v>0</v>
          </cell>
          <cell r="S454">
            <v>0</v>
          </cell>
        </row>
        <row r="455">
          <cell r="Q455">
            <v>0.44444444443797698</v>
          </cell>
          <cell r="R455">
            <v>0</v>
          </cell>
          <cell r="S455">
            <v>0</v>
          </cell>
        </row>
        <row r="456">
          <cell r="Q456">
            <v>0</v>
          </cell>
          <cell r="R456">
            <v>0</v>
          </cell>
          <cell r="S456">
            <v>0</v>
          </cell>
        </row>
        <row r="457">
          <cell r="Q457">
            <v>0</v>
          </cell>
          <cell r="R457">
            <v>0</v>
          </cell>
          <cell r="S457">
            <v>0</v>
          </cell>
        </row>
        <row r="458">
          <cell r="Q458">
            <v>119444.444444444</v>
          </cell>
          <cell r="R458">
            <v>129000</v>
          </cell>
          <cell r="S458">
            <v>0</v>
          </cell>
        </row>
        <row r="459">
          <cell r="Q459">
            <v>0</v>
          </cell>
          <cell r="R459">
            <v>0</v>
          </cell>
          <cell r="S459">
            <v>0</v>
          </cell>
        </row>
        <row r="460">
          <cell r="Q460">
            <v>0</v>
          </cell>
          <cell r="R460">
            <v>0</v>
          </cell>
          <cell r="S460">
            <v>0</v>
          </cell>
        </row>
        <row r="461">
          <cell r="Q461">
            <v>0</v>
          </cell>
          <cell r="R461">
            <v>0</v>
          </cell>
          <cell r="S461">
            <v>0</v>
          </cell>
        </row>
        <row r="462">
          <cell r="Q462">
            <v>0</v>
          </cell>
          <cell r="R462">
            <v>0</v>
          </cell>
          <cell r="S462">
            <v>0</v>
          </cell>
        </row>
        <row r="463">
          <cell r="Q463">
            <v>0</v>
          </cell>
          <cell r="R463">
            <v>0</v>
          </cell>
          <cell r="S463">
            <v>0</v>
          </cell>
        </row>
        <row r="465">
          <cell r="Q465">
            <v>0</v>
          </cell>
          <cell r="R465">
            <v>0</v>
          </cell>
          <cell r="S465">
            <v>0</v>
          </cell>
        </row>
        <row r="466">
          <cell r="Q466">
            <v>0</v>
          </cell>
          <cell r="R466">
            <v>0</v>
          </cell>
          <cell r="S466">
            <v>0</v>
          </cell>
        </row>
        <row r="467">
          <cell r="Q467">
            <v>0</v>
          </cell>
          <cell r="R467">
            <v>0</v>
          </cell>
          <cell r="S467">
            <v>0</v>
          </cell>
        </row>
        <row r="468">
          <cell r="Q468">
            <v>287500</v>
          </cell>
          <cell r="R468">
            <v>207000</v>
          </cell>
          <cell r="S468">
            <v>0</v>
          </cell>
        </row>
        <row r="469">
          <cell r="Q469">
            <v>231111.11111111101</v>
          </cell>
          <cell r="R469">
            <v>249600</v>
          </cell>
          <cell r="S469">
            <v>0</v>
          </cell>
        </row>
        <row r="470">
          <cell r="Q470">
            <v>0</v>
          </cell>
          <cell r="R470">
            <v>0</v>
          </cell>
          <cell r="S470">
            <v>0</v>
          </cell>
        </row>
        <row r="471">
          <cell r="Q471">
            <v>0</v>
          </cell>
          <cell r="R471">
            <v>0</v>
          </cell>
          <cell r="S471">
            <v>0</v>
          </cell>
        </row>
        <row r="472">
          <cell r="Q472">
            <v>0</v>
          </cell>
          <cell r="R472">
            <v>0</v>
          </cell>
          <cell r="S472">
            <v>0</v>
          </cell>
        </row>
        <row r="473">
          <cell r="Q473">
            <v>0</v>
          </cell>
          <cell r="R473">
            <v>0</v>
          </cell>
          <cell r="S473">
            <v>0</v>
          </cell>
        </row>
        <row r="474">
          <cell r="Q474">
            <v>253333.33333333299</v>
          </cell>
          <cell r="R474">
            <v>273600</v>
          </cell>
          <cell r="S474">
            <v>0</v>
          </cell>
        </row>
        <row r="475">
          <cell r="Q475">
            <v>0</v>
          </cell>
          <cell r="R475">
            <v>0</v>
          </cell>
          <cell r="S475">
            <v>0</v>
          </cell>
        </row>
        <row r="476">
          <cell r="Q476">
            <v>0</v>
          </cell>
          <cell r="R476">
            <v>0</v>
          </cell>
          <cell r="S476">
            <v>0</v>
          </cell>
        </row>
        <row r="477">
          <cell r="Q477">
            <v>0</v>
          </cell>
          <cell r="R477">
            <v>0</v>
          </cell>
          <cell r="S477">
            <v>0</v>
          </cell>
        </row>
        <row r="478">
          <cell r="Q478">
            <v>0</v>
          </cell>
          <cell r="R478">
            <v>0</v>
          </cell>
          <cell r="S478">
            <v>0</v>
          </cell>
        </row>
        <row r="479">
          <cell r="Q479">
            <v>0</v>
          </cell>
          <cell r="R479">
            <v>0</v>
          </cell>
          <cell r="S479">
            <v>0</v>
          </cell>
        </row>
        <row r="480">
          <cell r="Q480">
            <v>163888.88888888899</v>
          </cell>
          <cell r="R480">
            <v>161646</v>
          </cell>
          <cell r="S480">
            <v>0</v>
          </cell>
        </row>
        <row r="481">
          <cell r="Q481">
            <v>0</v>
          </cell>
          <cell r="R481">
            <v>0</v>
          </cell>
          <cell r="S481">
            <v>0</v>
          </cell>
        </row>
        <row r="482">
          <cell r="Q482">
            <v>0</v>
          </cell>
          <cell r="R482">
            <v>0</v>
          </cell>
          <cell r="S482">
            <v>0</v>
          </cell>
        </row>
        <row r="483">
          <cell r="Q483">
            <v>0</v>
          </cell>
          <cell r="R483">
            <v>0</v>
          </cell>
          <cell r="S483">
            <v>0</v>
          </cell>
        </row>
        <row r="484">
          <cell r="Q484">
            <v>0</v>
          </cell>
          <cell r="R484">
            <v>0</v>
          </cell>
          <cell r="S484">
            <v>0</v>
          </cell>
        </row>
        <row r="485">
          <cell r="Q485">
            <v>0</v>
          </cell>
          <cell r="R485">
            <v>0</v>
          </cell>
          <cell r="S485">
            <v>0</v>
          </cell>
        </row>
        <row r="486">
          <cell r="Q486">
            <v>0</v>
          </cell>
          <cell r="R486">
            <v>0</v>
          </cell>
          <cell r="S486">
            <v>0</v>
          </cell>
        </row>
        <row r="487">
          <cell r="Q487">
            <v>0</v>
          </cell>
          <cell r="R487">
            <v>0</v>
          </cell>
          <cell r="S487">
            <v>0</v>
          </cell>
        </row>
        <row r="488">
          <cell r="Q488">
            <v>0</v>
          </cell>
          <cell r="R488">
            <v>0</v>
          </cell>
          <cell r="S488">
            <v>0</v>
          </cell>
        </row>
        <row r="489">
          <cell r="Q489">
            <v>0</v>
          </cell>
          <cell r="R489">
            <v>0</v>
          </cell>
          <cell r="S489">
            <v>0</v>
          </cell>
        </row>
        <row r="490">
          <cell r="Q490">
            <v>0</v>
          </cell>
          <cell r="R490">
            <v>0</v>
          </cell>
          <cell r="S490">
            <v>0</v>
          </cell>
        </row>
        <row r="491">
          <cell r="Q491">
            <v>0</v>
          </cell>
          <cell r="R491">
            <v>0</v>
          </cell>
          <cell r="S491">
            <v>0</v>
          </cell>
        </row>
        <row r="492">
          <cell r="Q492">
            <v>208333.33333333299</v>
          </cell>
          <cell r="R492">
            <v>122051</v>
          </cell>
          <cell r="S492">
            <v>10000</v>
          </cell>
        </row>
        <row r="493">
          <cell r="Q493">
            <v>0</v>
          </cell>
          <cell r="R493">
            <v>0</v>
          </cell>
          <cell r="S493">
            <v>0</v>
          </cell>
        </row>
        <row r="494">
          <cell r="Q494">
            <v>0</v>
          </cell>
          <cell r="R494">
            <v>0</v>
          </cell>
          <cell r="S494">
            <v>0</v>
          </cell>
        </row>
        <row r="495">
          <cell r="Q495">
            <v>0</v>
          </cell>
          <cell r="R495">
            <v>0</v>
          </cell>
          <cell r="S495">
            <v>0</v>
          </cell>
        </row>
        <row r="496">
          <cell r="Q496">
            <v>0</v>
          </cell>
          <cell r="R496">
            <v>0</v>
          </cell>
          <cell r="S496">
            <v>0</v>
          </cell>
        </row>
        <row r="497">
          <cell r="Q497">
            <v>0</v>
          </cell>
          <cell r="R497">
            <v>0</v>
          </cell>
          <cell r="S497">
            <v>0</v>
          </cell>
        </row>
        <row r="498">
          <cell r="Q498">
            <v>70833.333333333299</v>
          </cell>
          <cell r="R498">
            <v>42500</v>
          </cell>
          <cell r="S498">
            <v>10000</v>
          </cell>
        </row>
        <row r="499">
          <cell r="Q499">
            <v>0</v>
          </cell>
          <cell r="R499">
            <v>0</v>
          </cell>
          <cell r="S499">
            <v>0</v>
          </cell>
        </row>
        <row r="500">
          <cell r="Q500">
            <v>0</v>
          </cell>
          <cell r="R500">
            <v>0</v>
          </cell>
          <cell r="S500">
            <v>0</v>
          </cell>
        </row>
        <row r="501">
          <cell r="Q501">
            <v>0</v>
          </cell>
          <cell r="R501">
            <v>0</v>
          </cell>
          <cell r="S501">
            <v>0</v>
          </cell>
        </row>
        <row r="502">
          <cell r="Q502">
            <v>0</v>
          </cell>
          <cell r="R502">
            <v>0</v>
          </cell>
          <cell r="S502">
            <v>0</v>
          </cell>
        </row>
        <row r="503">
          <cell r="R503">
            <v>0</v>
          </cell>
          <cell r="S503">
            <v>0</v>
          </cell>
        </row>
        <row r="504">
          <cell r="Q504">
            <v>0</v>
          </cell>
          <cell r="R504">
            <v>0</v>
          </cell>
          <cell r="S504">
            <v>0</v>
          </cell>
        </row>
        <row r="505">
          <cell r="Q505">
            <v>0</v>
          </cell>
          <cell r="R505">
            <v>0</v>
          </cell>
          <cell r="S505">
            <v>0</v>
          </cell>
        </row>
        <row r="506">
          <cell r="Q506">
            <v>0</v>
          </cell>
          <cell r="R506">
            <v>0</v>
          </cell>
          <cell r="S506">
            <v>0</v>
          </cell>
        </row>
        <row r="507">
          <cell r="Q507">
            <v>0</v>
          </cell>
          <cell r="R507">
            <v>0</v>
          </cell>
          <cell r="S507">
            <v>0</v>
          </cell>
        </row>
        <row r="508">
          <cell r="Q508">
            <v>0</v>
          </cell>
          <cell r="R508">
            <v>0</v>
          </cell>
          <cell r="S508">
            <v>0</v>
          </cell>
        </row>
        <row r="509">
          <cell r="Q509">
            <v>0</v>
          </cell>
          <cell r="R509">
            <v>0</v>
          </cell>
          <cell r="S509">
            <v>0</v>
          </cell>
        </row>
        <row r="510">
          <cell r="Q510">
            <v>0</v>
          </cell>
          <cell r="R510">
            <v>0</v>
          </cell>
          <cell r="S510">
            <v>0</v>
          </cell>
        </row>
        <row r="511">
          <cell r="Q511">
            <v>0</v>
          </cell>
          <cell r="R511">
            <v>0</v>
          </cell>
          <cell r="S511">
            <v>0</v>
          </cell>
        </row>
        <row r="512">
          <cell r="Q512">
            <v>0</v>
          </cell>
          <cell r="R512">
            <v>0</v>
          </cell>
          <cell r="S512">
            <v>0</v>
          </cell>
        </row>
        <row r="513">
          <cell r="Q513">
            <v>0</v>
          </cell>
          <cell r="R513">
            <v>0</v>
          </cell>
          <cell r="S513">
            <v>0</v>
          </cell>
        </row>
        <row r="514">
          <cell r="Q514">
            <v>0</v>
          </cell>
          <cell r="R514">
            <v>0</v>
          </cell>
          <cell r="S514">
            <v>0</v>
          </cell>
        </row>
        <row r="515">
          <cell r="Q515">
            <v>0</v>
          </cell>
          <cell r="R515">
            <v>0</v>
          </cell>
          <cell r="S515">
            <v>0</v>
          </cell>
        </row>
        <row r="516">
          <cell r="Q516">
            <v>0</v>
          </cell>
          <cell r="R516">
            <v>0</v>
          </cell>
          <cell r="S516">
            <v>0</v>
          </cell>
        </row>
        <row r="517">
          <cell r="Q517">
            <v>0</v>
          </cell>
          <cell r="R517">
            <v>0</v>
          </cell>
          <cell r="S517">
            <v>0</v>
          </cell>
        </row>
        <row r="518">
          <cell r="Q518">
            <v>0</v>
          </cell>
          <cell r="R518">
            <v>0</v>
          </cell>
          <cell r="S518">
            <v>0</v>
          </cell>
        </row>
        <row r="519">
          <cell r="Q519">
            <v>0</v>
          </cell>
          <cell r="R519">
            <v>0</v>
          </cell>
          <cell r="S519">
            <v>0</v>
          </cell>
        </row>
        <row r="520">
          <cell r="Q520">
            <v>0</v>
          </cell>
          <cell r="R520">
            <v>0</v>
          </cell>
          <cell r="S520">
            <v>0</v>
          </cell>
        </row>
        <row r="521">
          <cell r="Q521">
            <v>0</v>
          </cell>
          <cell r="R521">
            <v>0</v>
          </cell>
          <cell r="S521">
            <v>0</v>
          </cell>
        </row>
        <row r="522">
          <cell r="Q522">
            <v>0</v>
          </cell>
          <cell r="R522">
            <v>0</v>
          </cell>
          <cell r="S522">
            <v>0</v>
          </cell>
        </row>
        <row r="523">
          <cell r="Q523">
            <v>0</v>
          </cell>
          <cell r="R523">
            <v>0</v>
          </cell>
          <cell r="S523">
            <v>0</v>
          </cell>
        </row>
        <row r="524">
          <cell r="Q524">
            <v>0</v>
          </cell>
          <cell r="R524">
            <v>0</v>
          </cell>
          <cell r="S524">
            <v>0</v>
          </cell>
        </row>
        <row r="525">
          <cell r="Q525">
            <v>0</v>
          </cell>
          <cell r="R525">
            <v>0</v>
          </cell>
          <cell r="S525">
            <v>0</v>
          </cell>
        </row>
        <row r="526">
          <cell r="Q526">
            <v>0</v>
          </cell>
          <cell r="R526">
            <v>0</v>
          </cell>
          <cell r="S526">
            <v>0</v>
          </cell>
        </row>
        <row r="527">
          <cell r="Q527">
            <v>0</v>
          </cell>
          <cell r="R527">
            <v>0</v>
          </cell>
          <cell r="S527">
            <v>0</v>
          </cell>
        </row>
        <row r="528">
          <cell r="Q528">
            <v>0</v>
          </cell>
          <cell r="R528">
            <v>0</v>
          </cell>
          <cell r="S528">
            <v>0</v>
          </cell>
        </row>
        <row r="529">
          <cell r="Q529">
            <v>0</v>
          </cell>
          <cell r="R529">
            <v>0</v>
          </cell>
          <cell r="S529">
            <v>0</v>
          </cell>
        </row>
        <row r="530">
          <cell r="Q530">
            <v>0</v>
          </cell>
          <cell r="R530">
            <v>0</v>
          </cell>
          <cell r="S530">
            <v>0</v>
          </cell>
        </row>
        <row r="531">
          <cell r="Q531">
            <v>0</v>
          </cell>
          <cell r="R531">
            <v>0</v>
          </cell>
          <cell r="S531">
            <v>0</v>
          </cell>
        </row>
        <row r="532">
          <cell r="Q532">
            <v>0</v>
          </cell>
          <cell r="R532">
            <v>0</v>
          </cell>
          <cell r="S532">
            <v>0</v>
          </cell>
        </row>
        <row r="533">
          <cell r="Q533">
            <v>0</v>
          </cell>
          <cell r="R533">
            <v>0</v>
          </cell>
          <cell r="S533">
            <v>0</v>
          </cell>
        </row>
        <row r="534">
          <cell r="Q534">
            <v>0</v>
          </cell>
          <cell r="R534">
            <v>0</v>
          </cell>
          <cell r="S534">
            <v>0</v>
          </cell>
        </row>
        <row r="535">
          <cell r="Q535">
            <v>0</v>
          </cell>
          <cell r="R535">
            <v>0</v>
          </cell>
          <cell r="S535">
            <v>0</v>
          </cell>
        </row>
        <row r="536">
          <cell r="Q536">
            <v>0</v>
          </cell>
          <cell r="R536">
            <v>0</v>
          </cell>
          <cell r="S536">
            <v>0</v>
          </cell>
        </row>
        <row r="537">
          <cell r="Q537">
            <v>0</v>
          </cell>
          <cell r="R537">
            <v>0</v>
          </cell>
          <cell r="S537">
            <v>0</v>
          </cell>
        </row>
        <row r="538">
          <cell r="Q538">
            <v>-0.333333333313931</v>
          </cell>
          <cell r="R538">
            <v>0</v>
          </cell>
          <cell r="S538">
            <v>0</v>
          </cell>
        </row>
        <row r="539">
          <cell r="Q539">
            <v>0</v>
          </cell>
          <cell r="R539">
            <v>0</v>
          </cell>
          <cell r="S539">
            <v>0</v>
          </cell>
        </row>
        <row r="540">
          <cell r="Q540">
            <v>277777.77777777798</v>
          </cell>
          <cell r="R540">
            <v>250000</v>
          </cell>
          <cell r="S540">
            <v>10000</v>
          </cell>
        </row>
        <row r="541">
          <cell r="Q541">
            <v>0.22222222221898799</v>
          </cell>
          <cell r="R541">
            <v>0</v>
          </cell>
          <cell r="S541">
            <v>0</v>
          </cell>
        </row>
        <row r="542">
          <cell r="Q542">
            <v>0</v>
          </cell>
          <cell r="R542">
            <v>0</v>
          </cell>
          <cell r="S542">
            <v>0</v>
          </cell>
        </row>
        <row r="543">
          <cell r="Q543">
            <v>0</v>
          </cell>
          <cell r="R543">
            <v>0</v>
          </cell>
          <cell r="S543">
            <v>0</v>
          </cell>
        </row>
        <row r="544">
          <cell r="Q544">
            <v>0.44388888888352102</v>
          </cell>
          <cell r="R544">
            <v>0</v>
          </cell>
          <cell r="S544">
            <v>0</v>
          </cell>
        </row>
        <row r="545">
          <cell r="Q545">
            <v>0</v>
          </cell>
          <cell r="R545">
            <v>0</v>
          </cell>
          <cell r="S545">
            <v>0</v>
          </cell>
        </row>
        <row r="546">
          <cell r="Q546">
            <v>0</v>
          </cell>
          <cell r="R546">
            <v>0</v>
          </cell>
          <cell r="S546">
            <v>0</v>
          </cell>
        </row>
        <row r="547">
          <cell r="Q547">
            <v>127937</v>
          </cell>
          <cell r="R547">
            <v>0</v>
          </cell>
          <cell r="S547">
            <v>0</v>
          </cell>
        </row>
        <row r="548">
          <cell r="Q548">
            <v>0.22222222221898799</v>
          </cell>
          <cell r="R548">
            <v>0</v>
          </cell>
          <cell r="S548">
            <v>0</v>
          </cell>
        </row>
        <row r="549">
          <cell r="Q549">
            <v>0</v>
          </cell>
          <cell r="R549">
            <v>0</v>
          </cell>
          <cell r="S549">
            <v>0</v>
          </cell>
        </row>
        <row r="550">
          <cell r="Q550">
            <v>0</v>
          </cell>
          <cell r="R550">
            <v>0</v>
          </cell>
          <cell r="S550">
            <v>0</v>
          </cell>
        </row>
        <row r="551">
          <cell r="Q551">
            <v>0</v>
          </cell>
          <cell r="R551">
            <v>0</v>
          </cell>
          <cell r="S551">
            <v>0</v>
          </cell>
        </row>
        <row r="552">
          <cell r="Q552">
            <v>0</v>
          </cell>
          <cell r="R552">
            <v>0</v>
          </cell>
          <cell r="S552">
            <v>0</v>
          </cell>
        </row>
        <row r="553">
          <cell r="Q553">
            <v>0</v>
          </cell>
          <cell r="R553">
            <v>0</v>
          </cell>
          <cell r="S553">
            <v>0</v>
          </cell>
        </row>
        <row r="554">
          <cell r="Q554">
            <v>263888.88888888899</v>
          </cell>
          <cell r="R554">
            <v>214351</v>
          </cell>
          <cell r="S554">
            <v>0</v>
          </cell>
        </row>
        <row r="555">
          <cell r="Q555">
            <v>0</v>
          </cell>
          <cell r="R555">
            <v>0</v>
          </cell>
          <cell r="S555">
            <v>0</v>
          </cell>
        </row>
        <row r="556">
          <cell r="Q556">
            <v>0</v>
          </cell>
          <cell r="R556">
            <v>0</v>
          </cell>
          <cell r="S556">
            <v>0</v>
          </cell>
        </row>
        <row r="557">
          <cell r="Q557">
            <v>0</v>
          </cell>
          <cell r="R557">
            <v>0</v>
          </cell>
          <cell r="S557">
            <v>0</v>
          </cell>
        </row>
        <row r="558">
          <cell r="Q558">
            <v>0</v>
          </cell>
          <cell r="R558">
            <v>0</v>
          </cell>
          <cell r="S558">
            <v>0</v>
          </cell>
        </row>
        <row r="559">
          <cell r="Q559">
            <v>0</v>
          </cell>
          <cell r="R559">
            <v>0</v>
          </cell>
          <cell r="S559">
            <v>0</v>
          </cell>
        </row>
        <row r="560">
          <cell r="Q560">
            <v>0</v>
          </cell>
          <cell r="R560">
            <v>0</v>
          </cell>
          <cell r="S560">
            <v>0</v>
          </cell>
        </row>
        <row r="561">
          <cell r="Q561">
            <v>0</v>
          </cell>
          <cell r="R561">
            <v>0</v>
          </cell>
          <cell r="S561">
            <v>0</v>
          </cell>
        </row>
        <row r="562">
          <cell r="Q562">
            <v>-0.44888888887362599</v>
          </cell>
          <cell r="R562">
            <v>0</v>
          </cell>
          <cell r="S562">
            <v>0</v>
          </cell>
        </row>
        <row r="563">
          <cell r="Q563">
            <v>166666.66666666701</v>
          </cell>
          <cell r="R563">
            <v>124939</v>
          </cell>
          <cell r="S563">
            <v>0</v>
          </cell>
        </row>
        <row r="564">
          <cell r="Q564">
            <v>0</v>
          </cell>
          <cell r="R564">
            <v>0</v>
          </cell>
          <cell r="S564">
            <v>0</v>
          </cell>
        </row>
        <row r="565">
          <cell r="Q565">
            <v>0</v>
          </cell>
          <cell r="R565">
            <v>0</v>
          </cell>
          <cell r="S565">
            <v>0</v>
          </cell>
        </row>
        <row r="566">
          <cell r="Q566">
            <v>0</v>
          </cell>
          <cell r="R566">
            <v>0</v>
          </cell>
          <cell r="S566">
            <v>0</v>
          </cell>
        </row>
        <row r="567">
          <cell r="Q567">
            <v>87117.666666666293</v>
          </cell>
          <cell r="R567">
            <v>0</v>
          </cell>
          <cell r="S567">
            <v>0</v>
          </cell>
        </row>
        <row r="568">
          <cell r="Q568">
            <v>0</v>
          </cell>
          <cell r="R568">
            <v>0</v>
          </cell>
          <cell r="S568">
            <v>0</v>
          </cell>
        </row>
        <row r="569">
          <cell r="Q569">
            <v>0</v>
          </cell>
          <cell r="R569">
            <v>0</v>
          </cell>
          <cell r="S569">
            <v>0</v>
          </cell>
        </row>
        <row r="570">
          <cell r="Q570">
            <v>-0.22222222224809199</v>
          </cell>
          <cell r="R570">
            <v>0</v>
          </cell>
          <cell r="S570">
            <v>0</v>
          </cell>
        </row>
        <row r="571">
          <cell r="Q571">
            <v>0</v>
          </cell>
          <cell r="R571">
            <v>0</v>
          </cell>
          <cell r="S571">
            <v>0</v>
          </cell>
        </row>
        <row r="572">
          <cell r="Q572">
            <v>0</v>
          </cell>
          <cell r="R572">
            <v>0</v>
          </cell>
          <cell r="S572">
            <v>0</v>
          </cell>
        </row>
        <row r="573">
          <cell r="Q573">
            <v>0</v>
          </cell>
          <cell r="R573">
            <v>0</v>
          </cell>
          <cell r="S573">
            <v>0</v>
          </cell>
        </row>
        <row r="575">
          <cell r="Q575">
            <v>0</v>
          </cell>
          <cell r="R575">
            <v>0</v>
          </cell>
          <cell r="S575">
            <v>0</v>
          </cell>
        </row>
        <row r="576">
          <cell r="Q576">
            <v>0</v>
          </cell>
          <cell r="R576">
            <v>0</v>
          </cell>
          <cell r="S576">
            <v>0</v>
          </cell>
        </row>
        <row r="577">
          <cell r="Q577">
            <v>0</v>
          </cell>
          <cell r="R577">
            <v>0</v>
          </cell>
          <cell r="S577">
            <v>0</v>
          </cell>
        </row>
        <row r="578">
          <cell r="Q578">
            <v>0</v>
          </cell>
          <cell r="R578">
            <v>0</v>
          </cell>
          <cell r="S578">
            <v>0</v>
          </cell>
        </row>
        <row r="579">
          <cell r="Q579">
            <v>0</v>
          </cell>
          <cell r="R579">
            <v>0</v>
          </cell>
          <cell r="S579">
            <v>0</v>
          </cell>
        </row>
        <row r="580">
          <cell r="Q580">
            <v>0</v>
          </cell>
          <cell r="R580">
            <v>0</v>
          </cell>
          <cell r="S580">
            <v>0</v>
          </cell>
        </row>
        <row r="581">
          <cell r="Q581">
            <v>0</v>
          </cell>
          <cell r="R581">
            <v>0</v>
          </cell>
          <cell r="S581">
            <v>0</v>
          </cell>
        </row>
        <row r="582">
          <cell r="Q582">
            <v>270833.33333333302</v>
          </cell>
          <cell r="R582">
            <v>155805</v>
          </cell>
          <cell r="S582">
            <v>10000</v>
          </cell>
        </row>
        <row r="583">
          <cell r="Q583">
            <v>0</v>
          </cell>
          <cell r="R583">
            <v>0</v>
          </cell>
          <cell r="S583">
            <v>0</v>
          </cell>
        </row>
        <row r="584">
          <cell r="Q584">
            <v>0.22222222224809199</v>
          </cell>
          <cell r="R584">
            <v>0</v>
          </cell>
          <cell r="S584">
            <v>0</v>
          </cell>
        </row>
        <row r="585">
          <cell r="Q585">
            <v>0</v>
          </cell>
          <cell r="R585">
            <v>0</v>
          </cell>
          <cell r="S585">
            <v>0</v>
          </cell>
        </row>
        <row r="586">
          <cell r="Q586">
            <v>0</v>
          </cell>
          <cell r="R586">
            <v>0</v>
          </cell>
          <cell r="S586">
            <v>0</v>
          </cell>
        </row>
        <row r="587">
          <cell r="Q587">
            <v>0</v>
          </cell>
          <cell r="R587">
            <v>0</v>
          </cell>
          <cell r="S587">
            <v>0</v>
          </cell>
        </row>
        <row r="588">
          <cell r="Q588">
            <v>0</v>
          </cell>
          <cell r="R588">
            <v>0</v>
          </cell>
          <cell r="S588">
            <v>0</v>
          </cell>
        </row>
        <row r="589">
          <cell r="Q589">
            <v>0</v>
          </cell>
          <cell r="R589">
            <v>0</v>
          </cell>
          <cell r="S589">
            <v>0</v>
          </cell>
        </row>
        <row r="590">
          <cell r="Q590">
            <v>0</v>
          </cell>
          <cell r="R590">
            <v>0</v>
          </cell>
          <cell r="S590">
            <v>0</v>
          </cell>
        </row>
        <row r="591">
          <cell r="Q591">
            <v>0</v>
          </cell>
          <cell r="R591">
            <v>0</v>
          </cell>
          <cell r="S591">
            <v>0</v>
          </cell>
        </row>
        <row r="592">
          <cell r="Q592">
            <v>0</v>
          </cell>
          <cell r="R592">
            <v>0</v>
          </cell>
          <cell r="S592">
            <v>0</v>
          </cell>
        </row>
        <row r="593">
          <cell r="Q593">
            <v>-0.11111111112404599</v>
          </cell>
          <cell r="R593">
            <v>0</v>
          </cell>
          <cell r="S593">
            <v>0</v>
          </cell>
        </row>
        <row r="594">
          <cell r="Q594">
            <v>0</v>
          </cell>
          <cell r="R594">
            <v>0</v>
          </cell>
          <cell r="S594">
            <v>0</v>
          </cell>
        </row>
        <row r="595">
          <cell r="Q595">
            <v>0</v>
          </cell>
          <cell r="R595">
            <v>0</v>
          </cell>
          <cell r="S595">
            <v>0</v>
          </cell>
        </row>
        <row r="596">
          <cell r="Q596">
            <v>-0.22222222221898799</v>
          </cell>
          <cell r="R596">
            <v>0</v>
          </cell>
          <cell r="S596">
            <v>0</v>
          </cell>
        </row>
        <row r="597">
          <cell r="Q597">
            <v>0</v>
          </cell>
          <cell r="R597">
            <v>0</v>
          </cell>
          <cell r="S597">
            <v>0</v>
          </cell>
        </row>
        <row r="598">
          <cell r="Q598">
            <v>0</v>
          </cell>
          <cell r="R598">
            <v>0</v>
          </cell>
          <cell r="S598">
            <v>0</v>
          </cell>
        </row>
        <row r="599">
          <cell r="Q599">
            <v>0</v>
          </cell>
          <cell r="R599">
            <v>0</v>
          </cell>
          <cell r="S599">
            <v>0</v>
          </cell>
        </row>
        <row r="600">
          <cell r="Q600">
            <v>0</v>
          </cell>
          <cell r="R600">
            <v>0</v>
          </cell>
          <cell r="S600">
            <v>0</v>
          </cell>
        </row>
        <row r="601">
          <cell r="Q601">
            <v>0</v>
          </cell>
          <cell r="R601">
            <v>0</v>
          </cell>
          <cell r="S601">
            <v>0</v>
          </cell>
        </row>
        <row r="602">
          <cell r="Q602">
            <v>0</v>
          </cell>
          <cell r="R602">
            <v>0</v>
          </cell>
          <cell r="S602">
            <v>0</v>
          </cell>
        </row>
        <row r="603">
          <cell r="Q603">
            <v>0</v>
          </cell>
          <cell r="R603">
            <v>0</v>
          </cell>
          <cell r="S603">
            <v>0</v>
          </cell>
        </row>
        <row r="604">
          <cell r="Q604">
            <v>0</v>
          </cell>
          <cell r="R604">
            <v>0</v>
          </cell>
          <cell r="S604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436A7-5416-4D13-914F-F7F7A39BA38D}">
  <dimension ref="A1:AB643"/>
  <sheetViews>
    <sheetView tabSelected="1" zoomScale="92" zoomScaleNormal="92" workbookViewId="0">
      <pane xSplit="7" ySplit="7" topLeftCell="H8" activePane="bottomRight" state="frozen"/>
      <selection pane="topRight"/>
      <selection pane="bottomLeft"/>
      <selection pane="bottomRight" activeCell="A7" sqref="A7"/>
    </sheetView>
  </sheetViews>
  <sheetFormatPr defaultColWidth="9" defaultRowHeight="14.4" outlineLevelRow="1" x14ac:dyDescent="0.3"/>
  <cols>
    <col min="1" max="1" width="4.33203125" customWidth="1"/>
    <col min="2" max="2" width="5.109375" customWidth="1"/>
    <col min="3" max="4" width="11.33203125" style="135" customWidth="1"/>
    <col min="5" max="5" width="8.6640625" customWidth="1"/>
    <col min="6" max="6" width="17.33203125" customWidth="1"/>
    <col min="7" max="7" width="7.33203125" customWidth="1"/>
    <col min="8" max="8" width="13.88671875" customWidth="1"/>
    <col min="9" max="9" width="5.6640625" style="26" customWidth="1"/>
    <col min="10" max="10" width="4.77734375" style="10" customWidth="1"/>
    <col min="11" max="11" width="5.44140625" style="27" customWidth="1"/>
    <col min="12" max="12" width="5" style="28" customWidth="1"/>
    <col min="13" max="13" width="15" customWidth="1"/>
    <col min="14" max="14" width="12" style="55" customWidth="1"/>
    <col min="15" max="15" width="11.33203125" style="55" customWidth="1"/>
    <col min="16" max="16" width="10.21875" style="55" customWidth="1"/>
    <col min="17" max="17" width="12.77734375" style="55" customWidth="1"/>
    <col min="18" max="18" width="12.109375" style="328" customWidth="1"/>
    <col min="19" max="19" width="15" style="328" customWidth="1"/>
    <col min="20" max="20" width="10.109375" style="328" customWidth="1"/>
    <col min="21" max="21" width="14.33203125" customWidth="1"/>
    <col min="22" max="22" width="13.88671875" style="328" customWidth="1"/>
    <col min="23" max="23" width="11.77734375" style="328" customWidth="1"/>
    <col min="24" max="24" width="11.109375" style="328" customWidth="1"/>
    <col min="25" max="25" width="14" customWidth="1"/>
    <col min="26" max="26" width="16.5546875" style="9" customWidth="1"/>
    <col min="27" max="27" width="7.77734375" style="9" customWidth="1"/>
    <col min="28" max="28" width="3.88671875" style="9" customWidth="1"/>
  </cols>
  <sheetData>
    <row r="1" spans="2:28" hidden="1" x14ac:dyDescent="0.3">
      <c r="B1" s="1" t="s">
        <v>0</v>
      </c>
      <c r="C1" s="1"/>
      <c r="D1" s="1"/>
      <c r="E1" s="1"/>
      <c r="F1" s="1"/>
      <c r="G1" s="2"/>
      <c r="H1" s="3"/>
      <c r="I1" s="4" t="s">
        <v>1</v>
      </c>
      <c r="J1" s="5"/>
      <c r="K1" s="5"/>
      <c r="L1" s="5"/>
      <c r="M1" s="5"/>
      <c r="N1" s="5"/>
      <c r="O1" s="5"/>
      <c r="P1" s="5"/>
      <c r="Q1" s="5"/>
      <c r="R1" s="6"/>
      <c r="S1" s="6"/>
      <c r="T1" s="6"/>
      <c r="U1" s="7"/>
      <c r="V1" s="6"/>
      <c r="W1" s="6"/>
      <c r="X1" s="6"/>
      <c r="Y1" s="7"/>
      <c r="Z1" s="8"/>
    </row>
    <row r="2" spans="2:28" hidden="1" x14ac:dyDescent="0.3">
      <c r="B2" s="1" t="s">
        <v>2</v>
      </c>
      <c r="C2" s="1"/>
      <c r="D2" s="1"/>
      <c r="E2" s="1"/>
      <c r="F2" s="1"/>
      <c r="G2" s="2"/>
      <c r="H2" s="3">
        <v>1</v>
      </c>
      <c r="I2" s="11"/>
      <c r="J2" s="12"/>
      <c r="K2" s="13" t="s">
        <v>3</v>
      </c>
      <c r="L2" s="14"/>
      <c r="M2" s="15"/>
      <c r="N2" s="3">
        <v>3</v>
      </c>
      <c r="O2" s="16"/>
      <c r="P2" s="17"/>
      <c r="Q2" s="13" t="s">
        <v>4</v>
      </c>
      <c r="R2" s="14"/>
      <c r="S2" s="6"/>
      <c r="T2" s="6"/>
      <c r="U2" s="7"/>
      <c r="V2" s="6"/>
      <c r="W2" s="18"/>
      <c r="X2" s="18"/>
      <c r="Y2" s="7"/>
      <c r="Z2" s="8"/>
    </row>
    <row r="3" spans="2:28" hidden="1" x14ac:dyDescent="0.3">
      <c r="B3" s="1" t="s">
        <v>5</v>
      </c>
      <c r="C3" s="1"/>
      <c r="D3" s="1"/>
      <c r="E3" s="1"/>
      <c r="F3" s="1"/>
      <c r="G3" s="2"/>
      <c r="H3" s="3">
        <v>2</v>
      </c>
      <c r="I3" s="19"/>
      <c r="J3" s="20"/>
      <c r="K3" s="13" t="s">
        <v>6</v>
      </c>
      <c r="L3" s="14"/>
      <c r="M3" s="7"/>
      <c r="N3" s="3">
        <v>4</v>
      </c>
      <c r="O3" s="21"/>
      <c r="P3" s="22"/>
      <c r="Q3" s="13" t="s">
        <v>7</v>
      </c>
      <c r="R3" s="23"/>
      <c r="S3" s="6"/>
      <c r="T3" s="6"/>
      <c r="U3" s="7"/>
      <c r="V3" s="18"/>
      <c r="W3" s="18"/>
      <c r="X3" s="18"/>
      <c r="Y3" s="24"/>
      <c r="Z3" s="8"/>
    </row>
    <row r="4" spans="2:28" hidden="1" x14ac:dyDescent="0.3">
      <c r="B4" s="25"/>
      <c r="C4" s="25"/>
      <c r="D4" s="25"/>
      <c r="E4" s="25"/>
      <c r="F4" s="25"/>
      <c r="G4" s="2"/>
      <c r="M4" s="7"/>
      <c r="N4" s="29">
        <v>5</v>
      </c>
      <c r="O4" s="30"/>
      <c r="P4" s="30"/>
      <c r="Q4" s="13" t="s">
        <v>8</v>
      </c>
      <c r="R4" s="6"/>
      <c r="S4" s="6"/>
      <c r="T4" s="6"/>
      <c r="U4" s="7"/>
      <c r="V4" s="18"/>
      <c r="W4" s="18"/>
      <c r="X4" s="18"/>
      <c r="Y4" s="24"/>
      <c r="Z4" s="8"/>
    </row>
    <row r="5" spans="2:28" hidden="1" x14ac:dyDescent="0.3">
      <c r="B5" s="31"/>
      <c r="C5" s="32"/>
      <c r="D5" s="32"/>
      <c r="E5" s="31"/>
      <c r="F5" s="33"/>
      <c r="G5" s="31"/>
      <c r="M5" s="34"/>
      <c r="N5" s="7"/>
      <c r="O5" s="7"/>
      <c r="P5" s="7"/>
      <c r="Q5" s="35"/>
      <c r="R5" s="36"/>
      <c r="S5" s="36"/>
      <c r="T5" s="36"/>
      <c r="U5" s="7"/>
      <c r="V5" s="37"/>
      <c r="W5" s="38"/>
      <c r="X5" s="38"/>
      <c r="Y5" s="39"/>
      <c r="Z5" s="40"/>
    </row>
    <row r="6" spans="2:28" s="49" customFormat="1" ht="22.05" customHeight="1" x14ac:dyDescent="0.3">
      <c r="B6" s="41" t="s">
        <v>9</v>
      </c>
      <c r="C6" s="42" t="s">
        <v>10</v>
      </c>
      <c r="D6" s="42" t="s">
        <v>11</v>
      </c>
      <c r="E6" s="41" t="s">
        <v>12</v>
      </c>
      <c r="F6" s="41" t="s">
        <v>13</v>
      </c>
      <c r="G6" s="41" t="s">
        <v>14</v>
      </c>
      <c r="H6" s="41" t="s">
        <v>15</v>
      </c>
      <c r="I6" s="43" t="s">
        <v>16</v>
      </c>
      <c r="J6" s="44" t="s">
        <v>1162</v>
      </c>
      <c r="K6" s="45" t="s">
        <v>1161</v>
      </c>
      <c r="L6" s="46" t="s">
        <v>17</v>
      </c>
      <c r="M6" s="41" t="s">
        <v>18</v>
      </c>
      <c r="N6" s="47" t="s">
        <v>19</v>
      </c>
      <c r="O6" s="47"/>
      <c r="P6" s="47"/>
      <c r="Q6" s="47"/>
      <c r="R6" s="47" t="s">
        <v>20</v>
      </c>
      <c r="S6" s="47"/>
      <c r="T6" s="47"/>
      <c r="U6" s="47"/>
      <c r="V6" s="47" t="s">
        <v>21</v>
      </c>
      <c r="W6" s="47"/>
      <c r="X6" s="47"/>
      <c r="Y6" s="47"/>
      <c r="Z6" s="45" t="s">
        <v>22</v>
      </c>
      <c r="AA6" s="48"/>
      <c r="AB6" s="48"/>
    </row>
    <row r="7" spans="2:28" s="49" customFormat="1" x14ac:dyDescent="0.3">
      <c r="B7" s="41"/>
      <c r="C7" s="42"/>
      <c r="D7" s="42"/>
      <c r="E7" s="41"/>
      <c r="F7" s="41"/>
      <c r="G7" s="41"/>
      <c r="H7" s="41"/>
      <c r="I7" s="43"/>
      <c r="J7" s="44"/>
      <c r="K7" s="45"/>
      <c r="L7" s="46"/>
      <c r="M7" s="41"/>
      <c r="N7" s="50" t="s">
        <v>23</v>
      </c>
      <c r="O7" s="50" t="s">
        <v>16</v>
      </c>
      <c r="P7" s="50" t="s">
        <v>24</v>
      </c>
      <c r="Q7" s="50" t="s">
        <v>25</v>
      </c>
      <c r="R7" s="50" t="s">
        <v>23</v>
      </c>
      <c r="S7" s="50" t="s">
        <v>16</v>
      </c>
      <c r="T7" s="50" t="s">
        <v>24</v>
      </c>
      <c r="U7" s="50" t="s">
        <v>25</v>
      </c>
      <c r="V7" s="50" t="s">
        <v>23</v>
      </c>
      <c r="W7" s="50" t="s">
        <v>16</v>
      </c>
      <c r="X7" s="50" t="s">
        <v>24</v>
      </c>
      <c r="Y7" s="50" t="s">
        <v>25</v>
      </c>
      <c r="Z7" s="45"/>
      <c r="AA7" s="48"/>
      <c r="AB7" s="48"/>
    </row>
    <row r="8" spans="2:28" s="55" customFormat="1" outlineLevel="1" x14ac:dyDescent="0.3">
      <c r="B8" s="56">
        <v>1</v>
      </c>
      <c r="C8" s="57"/>
      <c r="D8" s="57"/>
      <c r="E8" s="58">
        <v>45474</v>
      </c>
      <c r="F8" s="57" t="s">
        <v>26</v>
      </c>
      <c r="G8" s="57" t="s">
        <v>27</v>
      </c>
      <c r="H8" s="59">
        <v>0</v>
      </c>
      <c r="I8" s="60"/>
      <c r="J8" s="61">
        <v>24</v>
      </c>
      <c r="K8" s="62">
        <v>24</v>
      </c>
      <c r="L8" s="52">
        <f>J8/K8</f>
        <v>1</v>
      </c>
      <c r="M8" s="59">
        <v>0</v>
      </c>
      <c r="N8" s="63">
        <v>0</v>
      </c>
      <c r="O8" s="64">
        <v>0</v>
      </c>
      <c r="P8" s="64"/>
      <c r="Q8" s="64">
        <f t="shared" ref="Q8:Q39" si="0">+N8+O8</f>
        <v>0</v>
      </c>
      <c r="R8" s="63">
        <v>0</v>
      </c>
      <c r="S8" s="64">
        <v>0</v>
      </c>
      <c r="T8" s="64"/>
      <c r="U8" s="64">
        <f>+R8+S8</f>
        <v>0</v>
      </c>
      <c r="V8" s="65">
        <v>0</v>
      </c>
      <c r="W8" s="66">
        <v>0</v>
      </c>
      <c r="X8" s="66"/>
      <c r="Y8" s="64">
        <f>+V8+W8</f>
        <v>0</v>
      </c>
      <c r="Z8" s="67" t="s">
        <v>28</v>
      </c>
      <c r="AA8" s="53"/>
      <c r="AB8" s="53"/>
    </row>
    <row r="9" spans="2:28" s="55" customFormat="1" outlineLevel="1" x14ac:dyDescent="0.3">
      <c r="B9" s="56">
        <v>2</v>
      </c>
      <c r="C9" s="57"/>
      <c r="D9" s="57"/>
      <c r="E9" s="58">
        <v>45475</v>
      </c>
      <c r="F9" s="57" t="s">
        <v>29</v>
      </c>
      <c r="G9" s="57" t="s">
        <v>30</v>
      </c>
      <c r="H9" s="59">
        <v>0</v>
      </c>
      <c r="I9" s="60"/>
      <c r="J9" s="61">
        <v>24</v>
      </c>
      <c r="K9" s="62">
        <v>24</v>
      </c>
      <c r="L9" s="52">
        <f>J9/K9</f>
        <v>1</v>
      </c>
      <c r="M9" s="59">
        <v>0</v>
      </c>
      <c r="N9" s="63">
        <v>0</v>
      </c>
      <c r="O9" s="64">
        <v>0</v>
      </c>
      <c r="P9" s="64"/>
      <c r="Q9" s="64">
        <f t="shared" si="0"/>
        <v>0</v>
      </c>
      <c r="R9" s="63">
        <v>0</v>
      </c>
      <c r="S9" s="64">
        <v>0</v>
      </c>
      <c r="T9" s="64"/>
      <c r="U9" s="64">
        <f t="shared" ref="U9:U48" si="1">+R9+S9</f>
        <v>0</v>
      </c>
      <c r="V9" s="65">
        <v>0</v>
      </c>
      <c r="W9" s="66">
        <v>0</v>
      </c>
      <c r="X9" s="66"/>
      <c r="Y9" s="64">
        <f t="shared" ref="Y9:Y16" si="2">+V9+W9</f>
        <v>0</v>
      </c>
      <c r="Z9" s="67" t="s">
        <v>31</v>
      </c>
      <c r="AA9" s="53"/>
      <c r="AB9" s="53"/>
    </row>
    <row r="10" spans="2:28" s="55" customFormat="1" outlineLevel="1" x14ac:dyDescent="0.3">
      <c r="B10" s="56">
        <v>3</v>
      </c>
      <c r="C10" s="56"/>
      <c r="D10" s="56"/>
      <c r="E10" s="58">
        <v>45446</v>
      </c>
      <c r="F10" s="57" t="s">
        <v>32</v>
      </c>
      <c r="G10" s="57" t="s">
        <v>33</v>
      </c>
      <c r="H10" s="59">
        <v>0</v>
      </c>
      <c r="I10" s="60"/>
      <c r="J10" s="61">
        <v>24</v>
      </c>
      <c r="K10" s="62">
        <v>24</v>
      </c>
      <c r="L10" s="52">
        <f t="shared" ref="L10:L106" si="3">J10/K10</f>
        <v>1</v>
      </c>
      <c r="M10" s="59">
        <v>0</v>
      </c>
      <c r="N10" s="63">
        <v>0</v>
      </c>
      <c r="O10" s="64">
        <v>0</v>
      </c>
      <c r="P10" s="64"/>
      <c r="Q10" s="64">
        <f t="shared" si="0"/>
        <v>0</v>
      </c>
      <c r="R10" s="63">
        <v>0</v>
      </c>
      <c r="S10" s="64">
        <v>0</v>
      </c>
      <c r="T10" s="64"/>
      <c r="U10" s="64">
        <f t="shared" si="1"/>
        <v>0</v>
      </c>
      <c r="V10" s="65">
        <v>0</v>
      </c>
      <c r="W10" s="66">
        <v>0</v>
      </c>
      <c r="X10" s="66"/>
      <c r="Y10" s="64">
        <f t="shared" si="2"/>
        <v>0</v>
      </c>
      <c r="Z10" s="68" t="s">
        <v>34</v>
      </c>
      <c r="AA10" s="53"/>
      <c r="AB10" s="53"/>
    </row>
    <row r="11" spans="2:28" s="55" customFormat="1" outlineLevel="1" x14ac:dyDescent="0.3">
      <c r="B11" s="56">
        <v>4</v>
      </c>
      <c r="C11" s="57"/>
      <c r="D11" s="57"/>
      <c r="E11" s="69">
        <v>45506</v>
      </c>
      <c r="F11" s="57" t="s">
        <v>35</v>
      </c>
      <c r="G11" s="57" t="s">
        <v>33</v>
      </c>
      <c r="H11" s="59">
        <v>0</v>
      </c>
      <c r="I11" s="60"/>
      <c r="J11" s="61">
        <v>24</v>
      </c>
      <c r="K11" s="70">
        <v>24</v>
      </c>
      <c r="L11" s="52">
        <f t="shared" si="3"/>
        <v>1</v>
      </c>
      <c r="M11" s="59">
        <v>0</v>
      </c>
      <c r="N11" s="63">
        <v>0</v>
      </c>
      <c r="O11" s="64">
        <v>0</v>
      </c>
      <c r="P11" s="64"/>
      <c r="Q11" s="64">
        <f t="shared" si="0"/>
        <v>0</v>
      </c>
      <c r="R11" s="63">
        <v>0</v>
      </c>
      <c r="S11" s="64">
        <v>0</v>
      </c>
      <c r="T11" s="64"/>
      <c r="U11" s="64">
        <f t="shared" si="1"/>
        <v>0</v>
      </c>
      <c r="V11" s="65">
        <v>0</v>
      </c>
      <c r="W11" s="66">
        <v>0</v>
      </c>
      <c r="X11" s="66"/>
      <c r="Y11" s="64">
        <f t="shared" si="2"/>
        <v>0</v>
      </c>
      <c r="Z11" s="68" t="s">
        <v>36</v>
      </c>
      <c r="AA11" s="53"/>
      <c r="AB11" s="53"/>
    </row>
    <row r="12" spans="2:28" s="55" customFormat="1" outlineLevel="1" x14ac:dyDescent="0.3">
      <c r="B12" s="56">
        <v>5</v>
      </c>
      <c r="C12" s="57"/>
      <c r="D12" s="57"/>
      <c r="E12" s="71">
        <v>45539</v>
      </c>
      <c r="F12" s="57" t="s">
        <v>37</v>
      </c>
      <c r="G12" s="72" t="s">
        <v>38</v>
      </c>
      <c r="H12" s="59">
        <v>0</v>
      </c>
      <c r="I12" s="60"/>
      <c r="J12" s="61">
        <v>24</v>
      </c>
      <c r="K12" s="73">
        <v>24</v>
      </c>
      <c r="L12" s="52">
        <f t="shared" si="3"/>
        <v>1</v>
      </c>
      <c r="M12" s="59">
        <v>0</v>
      </c>
      <c r="N12" s="63">
        <v>0</v>
      </c>
      <c r="O12" s="64">
        <v>0</v>
      </c>
      <c r="P12" s="64"/>
      <c r="Q12" s="64">
        <f t="shared" si="0"/>
        <v>0</v>
      </c>
      <c r="R12" s="63">
        <v>0</v>
      </c>
      <c r="S12" s="64">
        <v>0</v>
      </c>
      <c r="T12" s="64"/>
      <c r="U12" s="64">
        <f t="shared" si="1"/>
        <v>0</v>
      </c>
      <c r="V12" s="65">
        <v>0</v>
      </c>
      <c r="W12" s="66">
        <v>0</v>
      </c>
      <c r="X12" s="66"/>
      <c r="Y12" s="64">
        <f t="shared" si="2"/>
        <v>0</v>
      </c>
      <c r="Z12" s="68" t="s">
        <v>39</v>
      </c>
      <c r="AA12" s="53"/>
      <c r="AB12" s="53"/>
    </row>
    <row r="13" spans="2:28" s="13" customFormat="1" ht="11.4" outlineLevel="1" x14ac:dyDescent="0.2">
      <c r="B13" s="56">
        <v>6</v>
      </c>
      <c r="C13" s="57"/>
      <c r="D13" s="57"/>
      <c r="E13" s="71">
        <v>45545</v>
      </c>
      <c r="F13" s="57" t="s">
        <v>40</v>
      </c>
      <c r="G13" s="57" t="s">
        <v>41</v>
      </c>
      <c r="H13" s="59">
        <v>0</v>
      </c>
      <c r="I13" s="60"/>
      <c r="J13" s="61">
        <v>24</v>
      </c>
      <c r="K13" s="73">
        <v>24</v>
      </c>
      <c r="L13" s="52">
        <f t="shared" si="3"/>
        <v>1</v>
      </c>
      <c r="M13" s="59">
        <v>0</v>
      </c>
      <c r="N13" s="63">
        <v>0</v>
      </c>
      <c r="O13" s="64">
        <v>0</v>
      </c>
      <c r="P13" s="64"/>
      <c r="Q13" s="64">
        <f t="shared" si="0"/>
        <v>0</v>
      </c>
      <c r="R13" s="74">
        <v>0</v>
      </c>
      <c r="S13" s="51">
        <v>0</v>
      </c>
      <c r="T13" s="51"/>
      <c r="U13" s="64">
        <f t="shared" si="1"/>
        <v>0</v>
      </c>
      <c r="V13" s="65">
        <v>0</v>
      </c>
      <c r="W13" s="66">
        <v>0</v>
      </c>
      <c r="X13" s="66"/>
      <c r="Y13" s="64">
        <f t="shared" si="2"/>
        <v>0</v>
      </c>
      <c r="Z13" s="68" t="s">
        <v>42</v>
      </c>
      <c r="AA13" s="75"/>
      <c r="AB13" s="75"/>
    </row>
    <row r="14" spans="2:28" s="55" customFormat="1" outlineLevel="1" x14ac:dyDescent="0.3">
      <c r="B14" s="56">
        <v>7</v>
      </c>
      <c r="C14" s="56"/>
      <c r="D14" s="56"/>
      <c r="E14" s="71">
        <v>45425</v>
      </c>
      <c r="F14" s="57" t="s">
        <v>43</v>
      </c>
      <c r="G14" s="57" t="s">
        <v>33</v>
      </c>
      <c r="H14" s="59">
        <v>0</v>
      </c>
      <c r="I14" s="60"/>
      <c r="J14" s="61">
        <v>24</v>
      </c>
      <c r="K14" s="62">
        <v>24</v>
      </c>
      <c r="L14" s="52">
        <f t="shared" si="3"/>
        <v>1</v>
      </c>
      <c r="M14" s="59">
        <v>0</v>
      </c>
      <c r="N14" s="63">
        <v>0</v>
      </c>
      <c r="O14" s="64">
        <v>0</v>
      </c>
      <c r="P14" s="64"/>
      <c r="Q14" s="64">
        <f t="shared" si="0"/>
        <v>0</v>
      </c>
      <c r="R14" s="63">
        <v>0</v>
      </c>
      <c r="S14" s="64">
        <v>0</v>
      </c>
      <c r="T14" s="64"/>
      <c r="U14" s="64">
        <f t="shared" si="1"/>
        <v>0</v>
      </c>
      <c r="V14" s="65">
        <v>0</v>
      </c>
      <c r="W14" s="66">
        <v>0</v>
      </c>
      <c r="X14" s="66"/>
      <c r="Y14" s="64">
        <f t="shared" si="2"/>
        <v>0</v>
      </c>
      <c r="Z14" s="68" t="s">
        <v>44</v>
      </c>
      <c r="AA14" s="53"/>
      <c r="AB14" s="53"/>
    </row>
    <row r="15" spans="2:28" s="55" customFormat="1" outlineLevel="1" x14ac:dyDescent="0.3">
      <c r="B15" s="56">
        <v>8</v>
      </c>
      <c r="C15" s="57"/>
      <c r="D15" s="57"/>
      <c r="E15" s="69">
        <v>45509</v>
      </c>
      <c r="F15" s="57" t="s">
        <v>45</v>
      </c>
      <c r="G15" s="57" t="s">
        <v>27</v>
      </c>
      <c r="H15" s="59">
        <v>0</v>
      </c>
      <c r="I15" s="60"/>
      <c r="J15" s="61">
        <v>24</v>
      </c>
      <c r="K15" s="70">
        <v>24</v>
      </c>
      <c r="L15" s="52">
        <f t="shared" si="3"/>
        <v>1</v>
      </c>
      <c r="M15" s="59">
        <v>0</v>
      </c>
      <c r="N15" s="63">
        <v>0</v>
      </c>
      <c r="O15" s="64">
        <v>0</v>
      </c>
      <c r="P15" s="64"/>
      <c r="Q15" s="64">
        <f t="shared" si="0"/>
        <v>0</v>
      </c>
      <c r="R15" s="63">
        <v>0</v>
      </c>
      <c r="S15" s="64">
        <v>0</v>
      </c>
      <c r="T15" s="64"/>
      <c r="U15" s="64">
        <f t="shared" si="1"/>
        <v>0</v>
      </c>
      <c r="V15" s="65">
        <v>0</v>
      </c>
      <c r="W15" s="66">
        <v>0</v>
      </c>
      <c r="X15" s="66"/>
      <c r="Y15" s="64">
        <f t="shared" si="2"/>
        <v>0</v>
      </c>
      <c r="Z15" s="68" t="s">
        <v>46</v>
      </c>
      <c r="AA15" s="53"/>
      <c r="AB15" s="53"/>
    </row>
    <row r="16" spans="2:28" s="55" customFormat="1" outlineLevel="1" x14ac:dyDescent="0.3">
      <c r="B16" s="56">
        <v>9</v>
      </c>
      <c r="C16" s="57"/>
      <c r="D16" s="57"/>
      <c r="E16" s="69">
        <v>45506</v>
      </c>
      <c r="F16" s="57" t="s">
        <v>47</v>
      </c>
      <c r="G16" s="57" t="s">
        <v>48</v>
      </c>
      <c r="H16" s="59">
        <v>0</v>
      </c>
      <c r="I16" s="60"/>
      <c r="J16" s="61">
        <v>24</v>
      </c>
      <c r="K16" s="70">
        <v>24</v>
      </c>
      <c r="L16" s="52">
        <f t="shared" si="3"/>
        <v>1</v>
      </c>
      <c r="M16" s="59">
        <v>0</v>
      </c>
      <c r="N16" s="63">
        <v>0</v>
      </c>
      <c r="O16" s="64">
        <v>0</v>
      </c>
      <c r="P16" s="64"/>
      <c r="Q16" s="64">
        <f t="shared" si="0"/>
        <v>0</v>
      </c>
      <c r="R16" s="63">
        <v>0</v>
      </c>
      <c r="S16" s="64">
        <v>0</v>
      </c>
      <c r="T16" s="64"/>
      <c r="U16" s="64">
        <f t="shared" si="1"/>
        <v>0</v>
      </c>
      <c r="V16" s="65">
        <v>0</v>
      </c>
      <c r="W16" s="66">
        <v>0</v>
      </c>
      <c r="X16" s="66"/>
      <c r="Y16" s="64">
        <f t="shared" si="2"/>
        <v>0</v>
      </c>
      <c r="Z16" s="68" t="s">
        <v>49</v>
      </c>
      <c r="AA16" s="53"/>
      <c r="AB16" s="53"/>
    </row>
    <row r="17" spans="2:28" s="55" customFormat="1" outlineLevel="1" x14ac:dyDescent="0.3">
      <c r="B17" s="56">
        <v>10</v>
      </c>
      <c r="C17" s="57"/>
      <c r="D17" s="57"/>
      <c r="E17" s="71">
        <v>45614</v>
      </c>
      <c r="F17" s="57" t="s">
        <v>50</v>
      </c>
      <c r="G17" s="72" t="s">
        <v>27</v>
      </c>
      <c r="H17" s="59">
        <v>0</v>
      </c>
      <c r="I17" s="60"/>
      <c r="J17" s="61">
        <v>24</v>
      </c>
      <c r="K17" s="73">
        <v>24</v>
      </c>
      <c r="L17" s="52">
        <f t="shared" si="3"/>
        <v>1</v>
      </c>
      <c r="M17" s="59">
        <v>0</v>
      </c>
      <c r="N17" s="63">
        <v>0</v>
      </c>
      <c r="O17" s="64">
        <v>0</v>
      </c>
      <c r="P17" s="64"/>
      <c r="Q17" s="64">
        <f t="shared" si="0"/>
        <v>0</v>
      </c>
      <c r="R17" s="63">
        <v>0</v>
      </c>
      <c r="S17" s="64">
        <v>0</v>
      </c>
      <c r="T17" s="64"/>
      <c r="U17" s="64">
        <f t="shared" si="1"/>
        <v>0</v>
      </c>
      <c r="V17" s="65">
        <v>0</v>
      </c>
      <c r="W17" s="66">
        <v>0</v>
      </c>
      <c r="X17" s="66"/>
      <c r="Y17" s="64">
        <v>0</v>
      </c>
      <c r="Z17" s="68" t="s">
        <v>51</v>
      </c>
      <c r="AA17" s="53"/>
      <c r="AB17" s="53"/>
    </row>
    <row r="18" spans="2:28" s="55" customFormat="1" outlineLevel="1" x14ac:dyDescent="0.3">
      <c r="B18" s="56">
        <v>11</v>
      </c>
      <c r="C18" s="57"/>
      <c r="D18" s="57"/>
      <c r="E18" s="71">
        <v>45630</v>
      </c>
      <c r="F18" s="57" t="s">
        <v>52</v>
      </c>
      <c r="G18" s="72" t="s">
        <v>53</v>
      </c>
      <c r="H18" s="59">
        <v>0</v>
      </c>
      <c r="I18" s="60"/>
      <c r="J18" s="61">
        <v>24</v>
      </c>
      <c r="K18" s="73">
        <v>24</v>
      </c>
      <c r="L18" s="52">
        <f t="shared" si="3"/>
        <v>1</v>
      </c>
      <c r="M18" s="59">
        <v>0</v>
      </c>
      <c r="N18" s="63">
        <v>0</v>
      </c>
      <c r="O18" s="64">
        <v>0</v>
      </c>
      <c r="P18" s="64"/>
      <c r="Q18" s="64">
        <f t="shared" si="0"/>
        <v>0</v>
      </c>
      <c r="R18" s="63">
        <v>0</v>
      </c>
      <c r="S18" s="64">
        <v>0</v>
      </c>
      <c r="T18" s="64"/>
      <c r="U18" s="64">
        <f t="shared" si="1"/>
        <v>0</v>
      </c>
      <c r="V18" s="65">
        <v>0</v>
      </c>
      <c r="W18" s="66">
        <v>0</v>
      </c>
      <c r="X18" s="66"/>
      <c r="Y18" s="64">
        <f t="shared" ref="Y18:Y80" si="4">+V18+W18</f>
        <v>0</v>
      </c>
      <c r="Z18" s="76" t="s">
        <v>54</v>
      </c>
      <c r="AA18" s="53"/>
      <c r="AB18" s="53"/>
    </row>
    <row r="19" spans="2:28" s="55" customFormat="1" outlineLevel="1" x14ac:dyDescent="0.3">
      <c r="B19" s="56">
        <v>12</v>
      </c>
      <c r="C19" s="57"/>
      <c r="D19" s="57"/>
      <c r="E19" s="58">
        <v>45448</v>
      </c>
      <c r="F19" s="57" t="s">
        <v>55</v>
      </c>
      <c r="G19" s="57" t="s">
        <v>38</v>
      </c>
      <c r="H19" s="59">
        <v>0</v>
      </c>
      <c r="I19" s="60"/>
      <c r="J19" s="61">
        <v>24</v>
      </c>
      <c r="K19" s="62">
        <v>24</v>
      </c>
      <c r="L19" s="52">
        <f t="shared" si="3"/>
        <v>1</v>
      </c>
      <c r="M19" s="59">
        <v>0</v>
      </c>
      <c r="N19" s="63">
        <v>0</v>
      </c>
      <c r="O19" s="64">
        <v>0</v>
      </c>
      <c r="P19" s="64"/>
      <c r="Q19" s="64">
        <f t="shared" si="0"/>
        <v>0</v>
      </c>
      <c r="R19" s="63">
        <v>0</v>
      </c>
      <c r="S19" s="64">
        <v>0</v>
      </c>
      <c r="T19" s="64"/>
      <c r="U19" s="64">
        <f t="shared" si="1"/>
        <v>0</v>
      </c>
      <c r="V19" s="65">
        <v>0</v>
      </c>
      <c r="W19" s="66">
        <v>0</v>
      </c>
      <c r="X19" s="66"/>
      <c r="Y19" s="64">
        <f t="shared" si="4"/>
        <v>0</v>
      </c>
      <c r="Z19" s="76" t="s">
        <v>56</v>
      </c>
      <c r="AA19" s="53"/>
      <c r="AB19" s="53"/>
    </row>
    <row r="20" spans="2:28" s="55" customFormat="1" outlineLevel="1" x14ac:dyDescent="0.3">
      <c r="B20" s="56">
        <v>13</v>
      </c>
      <c r="C20" s="57"/>
      <c r="D20" s="57"/>
      <c r="E20" s="58">
        <v>45488</v>
      </c>
      <c r="F20" s="57" t="s">
        <v>57</v>
      </c>
      <c r="G20" s="57" t="s">
        <v>30</v>
      </c>
      <c r="H20" s="59">
        <v>0</v>
      </c>
      <c r="I20" s="60"/>
      <c r="J20" s="61">
        <v>24</v>
      </c>
      <c r="K20" s="62">
        <v>24</v>
      </c>
      <c r="L20" s="52">
        <f t="shared" si="3"/>
        <v>1</v>
      </c>
      <c r="M20" s="59">
        <v>0</v>
      </c>
      <c r="N20" s="63">
        <v>0</v>
      </c>
      <c r="O20" s="64">
        <v>0</v>
      </c>
      <c r="P20" s="64"/>
      <c r="Q20" s="64">
        <f t="shared" si="0"/>
        <v>0</v>
      </c>
      <c r="R20" s="63">
        <v>0</v>
      </c>
      <c r="S20" s="64">
        <v>0</v>
      </c>
      <c r="T20" s="64"/>
      <c r="U20" s="64">
        <f t="shared" si="1"/>
        <v>0</v>
      </c>
      <c r="V20" s="65">
        <v>0</v>
      </c>
      <c r="W20" s="66">
        <v>0</v>
      </c>
      <c r="X20" s="66"/>
      <c r="Y20" s="64">
        <f t="shared" si="4"/>
        <v>0</v>
      </c>
      <c r="Z20" s="76" t="s">
        <v>56</v>
      </c>
      <c r="AA20" s="53"/>
      <c r="AB20" s="53"/>
    </row>
    <row r="21" spans="2:28" s="55" customFormat="1" outlineLevel="1" x14ac:dyDescent="0.3">
      <c r="B21" s="56">
        <v>14</v>
      </c>
      <c r="C21" s="57"/>
      <c r="D21" s="57"/>
      <c r="E21" s="71">
        <v>45538</v>
      </c>
      <c r="F21" s="57" t="s">
        <v>58</v>
      </c>
      <c r="G21" s="72" t="s">
        <v>27</v>
      </c>
      <c r="H21" s="59">
        <v>0</v>
      </c>
      <c r="I21" s="60"/>
      <c r="J21" s="61">
        <v>24</v>
      </c>
      <c r="K21" s="73">
        <v>24</v>
      </c>
      <c r="L21" s="52">
        <f t="shared" si="3"/>
        <v>1</v>
      </c>
      <c r="M21" s="59">
        <v>0</v>
      </c>
      <c r="N21" s="63">
        <v>0</v>
      </c>
      <c r="O21" s="64">
        <v>0</v>
      </c>
      <c r="P21" s="64"/>
      <c r="Q21" s="64">
        <f t="shared" si="0"/>
        <v>0</v>
      </c>
      <c r="R21" s="63">
        <v>0</v>
      </c>
      <c r="S21" s="64">
        <v>0</v>
      </c>
      <c r="T21" s="64"/>
      <c r="U21" s="64">
        <f t="shared" si="1"/>
        <v>0</v>
      </c>
      <c r="V21" s="65">
        <v>0</v>
      </c>
      <c r="W21" s="66">
        <v>0</v>
      </c>
      <c r="X21" s="66"/>
      <c r="Y21" s="64">
        <f t="shared" si="4"/>
        <v>0</v>
      </c>
      <c r="Z21" s="76" t="s">
        <v>59</v>
      </c>
      <c r="AA21" s="53"/>
      <c r="AB21" s="53"/>
    </row>
    <row r="22" spans="2:28" s="13" customFormat="1" ht="11.4" outlineLevel="1" x14ac:dyDescent="0.2">
      <c r="B22" s="56">
        <v>15</v>
      </c>
      <c r="C22" s="57"/>
      <c r="D22" s="57"/>
      <c r="E22" s="71">
        <v>45548</v>
      </c>
      <c r="F22" s="57" t="s">
        <v>60</v>
      </c>
      <c r="G22" s="57" t="s">
        <v>61</v>
      </c>
      <c r="H22" s="59">
        <v>0</v>
      </c>
      <c r="I22" s="60"/>
      <c r="J22" s="61">
        <v>24</v>
      </c>
      <c r="K22" s="73">
        <v>24</v>
      </c>
      <c r="L22" s="52">
        <f t="shared" si="3"/>
        <v>1</v>
      </c>
      <c r="M22" s="59">
        <v>0</v>
      </c>
      <c r="N22" s="63">
        <v>0</v>
      </c>
      <c r="O22" s="64">
        <v>0</v>
      </c>
      <c r="P22" s="64"/>
      <c r="Q22" s="64">
        <f t="shared" si="0"/>
        <v>0</v>
      </c>
      <c r="R22" s="63">
        <v>0</v>
      </c>
      <c r="S22" s="64">
        <v>0</v>
      </c>
      <c r="T22" s="64"/>
      <c r="U22" s="64">
        <f t="shared" si="1"/>
        <v>0</v>
      </c>
      <c r="V22" s="65">
        <v>0</v>
      </c>
      <c r="W22" s="66">
        <v>0</v>
      </c>
      <c r="X22" s="66"/>
      <c r="Y22" s="64">
        <f t="shared" si="4"/>
        <v>0</v>
      </c>
      <c r="Z22" s="76" t="s">
        <v>62</v>
      </c>
      <c r="AA22" s="75"/>
      <c r="AB22" s="75"/>
    </row>
    <row r="23" spans="2:28" s="55" customFormat="1" outlineLevel="1" x14ac:dyDescent="0.3">
      <c r="B23" s="56">
        <v>16</v>
      </c>
      <c r="C23" s="57"/>
      <c r="D23" s="57"/>
      <c r="E23" s="58">
        <v>45481</v>
      </c>
      <c r="F23" s="57" t="s">
        <v>63</v>
      </c>
      <c r="G23" s="57" t="s">
        <v>53</v>
      </c>
      <c r="H23" s="59">
        <v>0</v>
      </c>
      <c r="I23" s="60"/>
      <c r="J23" s="61">
        <v>24</v>
      </c>
      <c r="K23" s="62">
        <v>24</v>
      </c>
      <c r="L23" s="52">
        <f t="shared" si="3"/>
        <v>1</v>
      </c>
      <c r="M23" s="59">
        <v>0</v>
      </c>
      <c r="N23" s="63">
        <v>0</v>
      </c>
      <c r="O23" s="64">
        <v>0</v>
      </c>
      <c r="P23" s="64"/>
      <c r="Q23" s="64">
        <f t="shared" si="0"/>
        <v>0</v>
      </c>
      <c r="R23" s="63">
        <v>0</v>
      </c>
      <c r="S23" s="64">
        <v>0</v>
      </c>
      <c r="T23" s="64"/>
      <c r="U23" s="64">
        <f t="shared" si="1"/>
        <v>0</v>
      </c>
      <c r="V23" s="65">
        <v>0</v>
      </c>
      <c r="W23" s="66">
        <v>0</v>
      </c>
      <c r="X23" s="66"/>
      <c r="Y23" s="64">
        <f t="shared" si="4"/>
        <v>0</v>
      </c>
      <c r="Z23" s="76" t="s">
        <v>64</v>
      </c>
      <c r="AA23" s="53"/>
      <c r="AB23" s="53"/>
    </row>
    <row r="24" spans="2:28" outlineLevel="1" x14ac:dyDescent="0.3">
      <c r="B24" s="56">
        <v>17</v>
      </c>
      <c r="C24" s="77" t="s">
        <v>65</v>
      </c>
      <c r="D24" s="78"/>
      <c r="E24" s="71">
        <v>45601</v>
      </c>
      <c r="F24" s="57" t="s">
        <v>66</v>
      </c>
      <c r="G24" s="72" t="s">
        <v>38</v>
      </c>
      <c r="H24" s="59">
        <v>0</v>
      </c>
      <c r="I24" s="60"/>
      <c r="J24" s="61">
        <v>24</v>
      </c>
      <c r="K24" s="79">
        <v>24</v>
      </c>
      <c r="L24" s="52">
        <f t="shared" si="3"/>
        <v>1</v>
      </c>
      <c r="M24" s="80">
        <v>0</v>
      </c>
      <c r="N24" s="63">
        <v>0</v>
      </c>
      <c r="O24" s="64">
        <v>0</v>
      </c>
      <c r="P24" s="64"/>
      <c r="Q24" s="64">
        <f t="shared" si="0"/>
        <v>0</v>
      </c>
      <c r="R24" s="65">
        <v>0</v>
      </c>
      <c r="S24" s="66">
        <v>0</v>
      </c>
      <c r="T24" s="66"/>
      <c r="U24" s="64">
        <f t="shared" si="1"/>
        <v>0</v>
      </c>
      <c r="V24" s="65">
        <v>0</v>
      </c>
      <c r="W24" s="66">
        <v>0</v>
      </c>
      <c r="X24" s="66"/>
      <c r="Y24" s="64">
        <f t="shared" si="4"/>
        <v>0</v>
      </c>
      <c r="Z24" s="76" t="s">
        <v>67</v>
      </c>
    </row>
    <row r="25" spans="2:28" outlineLevel="1" x14ac:dyDescent="0.3">
      <c r="B25" s="56">
        <v>18</v>
      </c>
      <c r="C25" s="77" t="s">
        <v>68</v>
      </c>
      <c r="D25" s="78"/>
      <c r="E25" s="71">
        <v>45645</v>
      </c>
      <c r="F25" s="57" t="s">
        <v>69</v>
      </c>
      <c r="G25" s="72" t="s">
        <v>38</v>
      </c>
      <c r="H25" s="59">
        <v>0</v>
      </c>
      <c r="I25" s="60"/>
      <c r="J25" s="61">
        <v>36</v>
      </c>
      <c r="K25" s="81">
        <v>36</v>
      </c>
      <c r="L25" s="52">
        <f t="shared" si="3"/>
        <v>1</v>
      </c>
      <c r="M25" s="80">
        <v>0</v>
      </c>
      <c r="N25" s="63">
        <v>0</v>
      </c>
      <c r="O25" s="64">
        <v>0</v>
      </c>
      <c r="P25" s="64"/>
      <c r="Q25" s="64">
        <f t="shared" si="0"/>
        <v>0</v>
      </c>
      <c r="R25" s="65">
        <v>0</v>
      </c>
      <c r="S25" s="66">
        <v>0</v>
      </c>
      <c r="T25" s="66"/>
      <c r="U25" s="64">
        <f t="shared" si="1"/>
        <v>0</v>
      </c>
      <c r="V25" s="65">
        <v>0</v>
      </c>
      <c r="W25" s="66">
        <v>0</v>
      </c>
      <c r="X25" s="66"/>
      <c r="Y25" s="64">
        <f t="shared" si="4"/>
        <v>0</v>
      </c>
      <c r="Z25" s="76" t="s">
        <v>70</v>
      </c>
    </row>
    <row r="26" spans="2:28" outlineLevel="1" x14ac:dyDescent="0.3">
      <c r="B26" s="56">
        <v>19</v>
      </c>
      <c r="C26" s="78"/>
      <c r="D26" s="78"/>
      <c r="E26" s="82">
        <v>45516</v>
      </c>
      <c r="F26" s="78" t="s">
        <v>71</v>
      </c>
      <c r="G26" s="78" t="s">
        <v>27</v>
      </c>
      <c r="H26" s="80">
        <v>0</v>
      </c>
      <c r="I26" s="83"/>
      <c r="J26" s="61">
        <v>24</v>
      </c>
      <c r="K26" s="84">
        <v>24</v>
      </c>
      <c r="L26" s="52">
        <f t="shared" si="3"/>
        <v>1</v>
      </c>
      <c r="M26" s="80">
        <v>0</v>
      </c>
      <c r="N26" s="63">
        <v>0</v>
      </c>
      <c r="O26" s="64">
        <v>0</v>
      </c>
      <c r="P26" s="64"/>
      <c r="Q26" s="64">
        <f t="shared" si="0"/>
        <v>0</v>
      </c>
      <c r="R26" s="65">
        <v>0</v>
      </c>
      <c r="S26" s="66">
        <v>0</v>
      </c>
      <c r="T26" s="66"/>
      <c r="U26" s="64">
        <f t="shared" si="1"/>
        <v>0</v>
      </c>
      <c r="V26" s="65">
        <v>0</v>
      </c>
      <c r="W26" s="66">
        <v>0</v>
      </c>
      <c r="X26" s="66"/>
      <c r="Y26" s="64">
        <f t="shared" si="4"/>
        <v>0</v>
      </c>
      <c r="Z26" s="76" t="s">
        <v>72</v>
      </c>
    </row>
    <row r="27" spans="2:28" outlineLevel="1" x14ac:dyDescent="0.3">
      <c r="B27" s="56">
        <v>20</v>
      </c>
      <c r="C27" s="78"/>
      <c r="D27" s="78"/>
      <c r="E27" s="71">
        <v>45663</v>
      </c>
      <c r="F27" s="57" t="s">
        <v>73</v>
      </c>
      <c r="G27" s="72" t="s">
        <v>38</v>
      </c>
      <c r="H27" s="59">
        <v>0</v>
      </c>
      <c r="I27" s="60"/>
      <c r="J27" s="61">
        <v>36</v>
      </c>
      <c r="K27" s="81">
        <v>36</v>
      </c>
      <c r="L27" s="52">
        <f t="shared" si="3"/>
        <v>1</v>
      </c>
      <c r="M27" s="59">
        <v>0</v>
      </c>
      <c r="N27" s="63">
        <v>0</v>
      </c>
      <c r="O27" s="64">
        <v>0</v>
      </c>
      <c r="P27" s="64"/>
      <c r="Q27" s="64">
        <f t="shared" si="0"/>
        <v>0</v>
      </c>
      <c r="R27" s="65">
        <v>0</v>
      </c>
      <c r="S27" s="66">
        <v>0</v>
      </c>
      <c r="T27" s="66"/>
      <c r="U27" s="64">
        <f t="shared" si="1"/>
        <v>0</v>
      </c>
      <c r="V27" s="65">
        <v>0</v>
      </c>
      <c r="W27" s="66">
        <v>0</v>
      </c>
      <c r="X27" s="66"/>
      <c r="Y27" s="64">
        <f t="shared" si="4"/>
        <v>0</v>
      </c>
      <c r="Z27" s="76" t="s">
        <v>74</v>
      </c>
    </row>
    <row r="28" spans="2:28" outlineLevel="1" x14ac:dyDescent="0.3">
      <c r="B28" s="56">
        <v>21</v>
      </c>
      <c r="C28" s="78"/>
      <c r="D28" s="78"/>
      <c r="E28" s="71">
        <v>45617</v>
      </c>
      <c r="F28" s="57" t="s">
        <v>75</v>
      </c>
      <c r="G28" s="72" t="s">
        <v>76</v>
      </c>
      <c r="H28" s="59">
        <v>0</v>
      </c>
      <c r="I28" s="60"/>
      <c r="J28" s="61">
        <v>24</v>
      </c>
      <c r="K28" s="79">
        <v>24</v>
      </c>
      <c r="L28" s="52">
        <f t="shared" si="3"/>
        <v>1</v>
      </c>
      <c r="M28" s="80">
        <v>0</v>
      </c>
      <c r="N28" s="63">
        <v>0</v>
      </c>
      <c r="O28" s="64">
        <v>0</v>
      </c>
      <c r="P28" s="64"/>
      <c r="Q28" s="64">
        <f t="shared" si="0"/>
        <v>0</v>
      </c>
      <c r="R28" s="63">
        <v>0</v>
      </c>
      <c r="S28" s="63">
        <v>0</v>
      </c>
      <c r="T28" s="63"/>
      <c r="U28" s="64">
        <f t="shared" si="1"/>
        <v>0</v>
      </c>
      <c r="V28" s="65">
        <v>0</v>
      </c>
      <c r="W28" s="66">
        <v>0</v>
      </c>
      <c r="X28" s="66"/>
      <c r="Y28" s="64">
        <f t="shared" si="4"/>
        <v>0</v>
      </c>
      <c r="Z28" s="85" t="s">
        <v>77</v>
      </c>
    </row>
    <row r="29" spans="2:28" outlineLevel="1" x14ac:dyDescent="0.3">
      <c r="B29" s="56">
        <v>22</v>
      </c>
      <c r="C29" s="78"/>
      <c r="D29" s="78"/>
      <c r="E29" s="71">
        <v>45597</v>
      </c>
      <c r="F29" s="57" t="s">
        <v>78</v>
      </c>
      <c r="G29" s="72" t="s">
        <v>33</v>
      </c>
      <c r="H29" s="59">
        <v>0</v>
      </c>
      <c r="I29" s="60"/>
      <c r="J29" s="61">
        <v>24</v>
      </c>
      <c r="K29" s="79">
        <v>24</v>
      </c>
      <c r="L29" s="52">
        <f t="shared" si="3"/>
        <v>1</v>
      </c>
      <c r="M29" s="80">
        <v>0</v>
      </c>
      <c r="N29" s="63">
        <v>0</v>
      </c>
      <c r="O29" s="64">
        <v>0</v>
      </c>
      <c r="P29" s="64"/>
      <c r="Q29" s="64">
        <f t="shared" si="0"/>
        <v>0</v>
      </c>
      <c r="R29" s="63"/>
      <c r="S29" s="63"/>
      <c r="T29" s="63"/>
      <c r="U29" s="64">
        <f t="shared" si="1"/>
        <v>0</v>
      </c>
      <c r="V29" s="65">
        <v>0</v>
      </c>
      <c r="W29" s="66">
        <v>0</v>
      </c>
      <c r="X29" s="66"/>
      <c r="Y29" s="64">
        <f t="shared" si="4"/>
        <v>0</v>
      </c>
      <c r="Z29" s="85" t="s">
        <v>79</v>
      </c>
    </row>
    <row r="30" spans="2:28" outlineLevel="1" x14ac:dyDescent="0.3">
      <c r="B30" s="56">
        <v>23</v>
      </c>
      <c r="C30" s="86"/>
      <c r="D30" s="86"/>
      <c r="E30" s="87">
        <v>45425</v>
      </c>
      <c r="F30" s="78" t="s">
        <v>80</v>
      </c>
      <c r="G30" s="78" t="s">
        <v>33</v>
      </c>
      <c r="H30" s="80">
        <v>0</v>
      </c>
      <c r="I30" s="83"/>
      <c r="J30" s="88">
        <v>12</v>
      </c>
      <c r="K30" s="89">
        <v>12</v>
      </c>
      <c r="L30" s="52">
        <f t="shared" si="3"/>
        <v>1</v>
      </c>
      <c r="M30" s="80">
        <v>0</v>
      </c>
      <c r="N30" s="63">
        <v>0</v>
      </c>
      <c r="O30" s="64">
        <f>SUM(H30*2.5/100)</f>
        <v>0</v>
      </c>
      <c r="P30" s="64"/>
      <c r="Q30" s="64">
        <f t="shared" si="0"/>
        <v>0</v>
      </c>
      <c r="R30" s="63">
        <v>0</v>
      </c>
      <c r="S30" s="63">
        <v>0</v>
      </c>
      <c r="T30" s="63"/>
      <c r="U30" s="64">
        <f t="shared" si="1"/>
        <v>0</v>
      </c>
      <c r="V30" s="65"/>
      <c r="W30" s="66"/>
      <c r="X30" s="66"/>
      <c r="Y30" s="64">
        <f t="shared" si="4"/>
        <v>0</v>
      </c>
      <c r="Z30" s="68" t="s">
        <v>81</v>
      </c>
    </row>
    <row r="31" spans="2:28" outlineLevel="1" x14ac:dyDescent="0.3">
      <c r="B31" s="56">
        <v>24</v>
      </c>
      <c r="C31" s="77" t="s">
        <v>82</v>
      </c>
      <c r="D31" s="78"/>
      <c r="E31" s="71">
        <v>45708</v>
      </c>
      <c r="F31" s="57" t="s">
        <v>83</v>
      </c>
      <c r="G31" s="72" t="s">
        <v>84</v>
      </c>
      <c r="H31" s="59">
        <v>0</v>
      </c>
      <c r="I31" s="60"/>
      <c r="J31" s="88">
        <v>24</v>
      </c>
      <c r="K31" s="81">
        <v>24</v>
      </c>
      <c r="L31" s="52">
        <f t="shared" si="3"/>
        <v>1</v>
      </c>
      <c r="M31" s="80"/>
      <c r="N31" s="63">
        <v>0</v>
      </c>
      <c r="O31" s="64">
        <v>0</v>
      </c>
      <c r="P31" s="64"/>
      <c r="Q31" s="64">
        <f t="shared" si="0"/>
        <v>0</v>
      </c>
      <c r="R31" s="63">
        <v>0</v>
      </c>
      <c r="S31" s="63">
        <v>0</v>
      </c>
      <c r="T31" s="63"/>
      <c r="U31" s="64">
        <f t="shared" si="1"/>
        <v>0</v>
      </c>
      <c r="V31" s="65">
        <v>0</v>
      </c>
      <c r="W31" s="66">
        <v>0</v>
      </c>
      <c r="X31" s="66"/>
      <c r="Y31" s="64">
        <f t="shared" si="4"/>
        <v>0</v>
      </c>
      <c r="Z31" s="85" t="s">
        <v>85</v>
      </c>
    </row>
    <row r="32" spans="2:28" outlineLevel="1" x14ac:dyDescent="0.3">
      <c r="B32" s="56">
        <v>25</v>
      </c>
      <c r="C32" s="78"/>
      <c r="D32" s="78"/>
      <c r="E32" s="90">
        <v>45448</v>
      </c>
      <c r="F32" s="78" t="s">
        <v>86</v>
      </c>
      <c r="G32" s="78" t="s">
        <v>33</v>
      </c>
      <c r="H32" s="80">
        <v>0</v>
      </c>
      <c r="I32" s="83"/>
      <c r="J32" s="88">
        <v>24</v>
      </c>
      <c r="K32" s="89">
        <v>24</v>
      </c>
      <c r="L32" s="52">
        <f t="shared" si="3"/>
        <v>1</v>
      </c>
      <c r="M32" s="80">
        <v>0</v>
      </c>
      <c r="N32" s="63">
        <v>0</v>
      </c>
      <c r="O32" s="64">
        <v>0</v>
      </c>
      <c r="P32" s="64"/>
      <c r="Q32" s="64">
        <f t="shared" si="0"/>
        <v>0</v>
      </c>
      <c r="R32" s="63">
        <v>0</v>
      </c>
      <c r="S32" s="63">
        <v>0</v>
      </c>
      <c r="T32" s="63"/>
      <c r="U32" s="64">
        <f t="shared" si="1"/>
        <v>0</v>
      </c>
      <c r="V32" s="65">
        <v>0</v>
      </c>
      <c r="W32" s="66">
        <v>0</v>
      </c>
      <c r="X32" s="66"/>
      <c r="Y32" s="64">
        <f t="shared" si="4"/>
        <v>0</v>
      </c>
      <c r="Z32" s="91" t="s">
        <v>87</v>
      </c>
    </row>
    <row r="33" spans="1:28" outlineLevel="1" x14ac:dyDescent="0.3">
      <c r="B33" s="56">
        <v>26</v>
      </c>
      <c r="C33" s="78"/>
      <c r="D33" s="78"/>
      <c r="E33" s="90">
        <v>45495</v>
      </c>
      <c r="F33" s="78" t="s">
        <v>88</v>
      </c>
      <c r="G33" s="78" t="s">
        <v>30</v>
      </c>
      <c r="H33" s="80">
        <v>0</v>
      </c>
      <c r="I33" s="83"/>
      <c r="J33" s="88">
        <v>24</v>
      </c>
      <c r="K33" s="89">
        <v>24</v>
      </c>
      <c r="L33" s="52">
        <f t="shared" si="3"/>
        <v>1</v>
      </c>
      <c r="M33" s="80">
        <v>0</v>
      </c>
      <c r="N33" s="63">
        <v>0</v>
      </c>
      <c r="O33" s="64">
        <v>0</v>
      </c>
      <c r="P33" s="64"/>
      <c r="Q33" s="64">
        <f t="shared" si="0"/>
        <v>0</v>
      </c>
      <c r="R33" s="63">
        <v>0</v>
      </c>
      <c r="S33" s="63">
        <v>0</v>
      </c>
      <c r="T33" s="63"/>
      <c r="U33" s="64">
        <f t="shared" si="1"/>
        <v>0</v>
      </c>
      <c r="V33" s="65">
        <v>0</v>
      </c>
      <c r="W33" s="66">
        <v>0</v>
      </c>
      <c r="X33" s="66"/>
      <c r="Y33" s="64">
        <f t="shared" si="4"/>
        <v>0</v>
      </c>
      <c r="Z33" s="85" t="s">
        <v>89</v>
      </c>
    </row>
    <row r="34" spans="1:28" s="55" customFormat="1" outlineLevel="1" x14ac:dyDescent="0.3">
      <c r="B34" s="56">
        <v>27</v>
      </c>
      <c r="C34" s="92" t="s">
        <v>90</v>
      </c>
      <c r="D34" s="57"/>
      <c r="E34" s="69">
        <v>37473</v>
      </c>
      <c r="F34" s="57" t="s">
        <v>91</v>
      </c>
      <c r="G34" s="57" t="s">
        <v>33</v>
      </c>
      <c r="H34" s="59">
        <v>0</v>
      </c>
      <c r="I34" s="60"/>
      <c r="J34" s="88">
        <v>24</v>
      </c>
      <c r="K34" s="70">
        <v>24</v>
      </c>
      <c r="L34" s="52">
        <f t="shared" si="3"/>
        <v>1</v>
      </c>
      <c r="M34" s="59">
        <v>0</v>
      </c>
      <c r="N34" s="63">
        <v>0</v>
      </c>
      <c r="O34" s="64">
        <v>0</v>
      </c>
      <c r="P34" s="64"/>
      <c r="Q34" s="64">
        <f t="shared" si="0"/>
        <v>0</v>
      </c>
      <c r="R34" s="63">
        <v>0</v>
      </c>
      <c r="S34" s="63">
        <v>0</v>
      </c>
      <c r="T34" s="63"/>
      <c r="U34" s="64">
        <f t="shared" si="1"/>
        <v>0</v>
      </c>
      <c r="V34" s="65">
        <v>0</v>
      </c>
      <c r="W34" s="66">
        <v>0</v>
      </c>
      <c r="X34" s="66"/>
      <c r="Y34" s="64">
        <f t="shared" si="4"/>
        <v>0</v>
      </c>
      <c r="Z34" s="67" t="s">
        <v>92</v>
      </c>
      <c r="AA34" s="53"/>
      <c r="AB34" s="53"/>
    </row>
    <row r="35" spans="1:28" s="55" customFormat="1" outlineLevel="1" x14ac:dyDescent="0.3">
      <c r="B35" s="56">
        <v>28</v>
      </c>
      <c r="C35" s="57"/>
      <c r="D35" s="57"/>
      <c r="E35" s="69">
        <v>45519</v>
      </c>
      <c r="F35" s="57" t="s">
        <v>93</v>
      </c>
      <c r="G35" s="57" t="s">
        <v>30</v>
      </c>
      <c r="H35" s="59">
        <v>0</v>
      </c>
      <c r="I35" s="60"/>
      <c r="J35" s="61">
        <v>24</v>
      </c>
      <c r="K35" s="70">
        <v>24</v>
      </c>
      <c r="L35" s="52">
        <f t="shared" si="3"/>
        <v>1</v>
      </c>
      <c r="M35" s="59">
        <v>0</v>
      </c>
      <c r="N35" s="63">
        <v>0</v>
      </c>
      <c r="O35" s="64">
        <v>0</v>
      </c>
      <c r="P35" s="64"/>
      <c r="Q35" s="64">
        <f t="shared" si="0"/>
        <v>0</v>
      </c>
      <c r="R35" s="63">
        <v>0</v>
      </c>
      <c r="S35" s="63">
        <v>0</v>
      </c>
      <c r="T35" s="63"/>
      <c r="U35" s="64">
        <f t="shared" si="1"/>
        <v>0</v>
      </c>
      <c r="V35" s="65">
        <v>0</v>
      </c>
      <c r="W35" s="66">
        <v>0</v>
      </c>
      <c r="X35" s="66"/>
      <c r="Y35" s="64">
        <f t="shared" si="4"/>
        <v>0</v>
      </c>
      <c r="Z35" s="67" t="s">
        <v>94</v>
      </c>
      <c r="AA35" s="53"/>
      <c r="AB35" s="53"/>
    </row>
    <row r="36" spans="1:28" s="55" customFormat="1" outlineLevel="1" x14ac:dyDescent="0.3">
      <c r="B36" s="56">
        <v>29</v>
      </c>
      <c r="C36" s="57"/>
      <c r="D36" s="57"/>
      <c r="E36" s="93">
        <v>45525</v>
      </c>
      <c r="F36" s="57" t="s">
        <v>95</v>
      </c>
      <c r="G36" s="57" t="s">
        <v>30</v>
      </c>
      <c r="H36" s="59">
        <v>0</v>
      </c>
      <c r="I36" s="60"/>
      <c r="J36" s="61">
        <v>24</v>
      </c>
      <c r="K36" s="70">
        <v>24</v>
      </c>
      <c r="L36" s="52">
        <f t="shared" si="3"/>
        <v>1</v>
      </c>
      <c r="M36" s="59">
        <v>0</v>
      </c>
      <c r="N36" s="63">
        <v>0</v>
      </c>
      <c r="O36" s="64">
        <v>0</v>
      </c>
      <c r="P36" s="64"/>
      <c r="Q36" s="64">
        <f t="shared" si="0"/>
        <v>0</v>
      </c>
      <c r="R36" s="63">
        <v>0</v>
      </c>
      <c r="S36" s="63">
        <v>0</v>
      </c>
      <c r="T36" s="63"/>
      <c r="U36" s="64">
        <f t="shared" si="1"/>
        <v>0</v>
      </c>
      <c r="V36" s="65">
        <v>0</v>
      </c>
      <c r="W36" s="66">
        <v>0</v>
      </c>
      <c r="X36" s="66"/>
      <c r="Y36" s="64">
        <f t="shared" si="4"/>
        <v>0</v>
      </c>
      <c r="Z36" s="67" t="s">
        <v>94</v>
      </c>
      <c r="AA36" s="53"/>
      <c r="AB36" s="53"/>
    </row>
    <row r="37" spans="1:28" s="55" customFormat="1" outlineLevel="1" x14ac:dyDescent="0.3">
      <c r="B37" s="56">
        <v>30</v>
      </c>
      <c r="C37" s="57"/>
      <c r="D37" s="57"/>
      <c r="E37" s="71">
        <v>45566</v>
      </c>
      <c r="F37" s="57" t="s">
        <v>96</v>
      </c>
      <c r="G37" s="72" t="s">
        <v>97</v>
      </c>
      <c r="H37" s="59">
        <v>0</v>
      </c>
      <c r="I37" s="60"/>
      <c r="J37" s="61">
        <v>24</v>
      </c>
      <c r="K37" s="73">
        <v>24</v>
      </c>
      <c r="L37" s="52">
        <f t="shared" si="3"/>
        <v>1</v>
      </c>
      <c r="M37" s="59">
        <v>0</v>
      </c>
      <c r="N37" s="63">
        <v>0</v>
      </c>
      <c r="O37" s="64">
        <v>0</v>
      </c>
      <c r="P37" s="64"/>
      <c r="Q37" s="64">
        <f t="shared" si="0"/>
        <v>0</v>
      </c>
      <c r="R37" s="63">
        <v>0</v>
      </c>
      <c r="S37" s="63">
        <v>0</v>
      </c>
      <c r="T37" s="63"/>
      <c r="U37" s="64">
        <f t="shared" si="1"/>
        <v>0</v>
      </c>
      <c r="V37" s="65">
        <v>0</v>
      </c>
      <c r="W37" s="66">
        <v>0</v>
      </c>
      <c r="X37" s="66"/>
      <c r="Y37" s="64">
        <f t="shared" si="4"/>
        <v>0</v>
      </c>
      <c r="Z37" s="67" t="s">
        <v>98</v>
      </c>
      <c r="AA37" s="53"/>
      <c r="AB37" s="53"/>
    </row>
    <row r="38" spans="1:28" s="55" customFormat="1" outlineLevel="1" x14ac:dyDescent="0.3">
      <c r="B38" s="56">
        <v>31</v>
      </c>
      <c r="C38" s="57"/>
      <c r="D38" s="57"/>
      <c r="E38" s="71">
        <v>45572</v>
      </c>
      <c r="F38" s="57" t="s">
        <v>99</v>
      </c>
      <c r="G38" s="72" t="s">
        <v>100</v>
      </c>
      <c r="H38" s="59">
        <v>0</v>
      </c>
      <c r="I38" s="60"/>
      <c r="J38" s="61">
        <v>24</v>
      </c>
      <c r="K38" s="73">
        <v>24</v>
      </c>
      <c r="L38" s="52">
        <f t="shared" si="3"/>
        <v>1</v>
      </c>
      <c r="M38" s="59">
        <v>0</v>
      </c>
      <c r="N38" s="63">
        <v>0</v>
      </c>
      <c r="O38" s="64">
        <v>0</v>
      </c>
      <c r="P38" s="64"/>
      <c r="Q38" s="64">
        <f t="shared" si="0"/>
        <v>0</v>
      </c>
      <c r="R38" s="63">
        <v>0</v>
      </c>
      <c r="S38" s="63">
        <v>0</v>
      </c>
      <c r="T38" s="63"/>
      <c r="U38" s="64">
        <f t="shared" si="1"/>
        <v>0</v>
      </c>
      <c r="V38" s="65">
        <v>0</v>
      </c>
      <c r="W38" s="66">
        <v>0</v>
      </c>
      <c r="X38" s="66"/>
      <c r="Y38" s="64">
        <f t="shared" si="4"/>
        <v>0</v>
      </c>
      <c r="Z38" s="67" t="s">
        <v>101</v>
      </c>
      <c r="AA38" s="53"/>
      <c r="AB38" s="53"/>
    </row>
    <row r="39" spans="1:28" s="55" customFormat="1" outlineLevel="1" x14ac:dyDescent="0.3">
      <c r="B39" s="56">
        <v>32</v>
      </c>
      <c r="C39" s="92" t="s">
        <v>102</v>
      </c>
      <c r="D39" s="57"/>
      <c r="E39" s="71">
        <v>45698</v>
      </c>
      <c r="F39" s="57" t="s">
        <v>103</v>
      </c>
      <c r="G39" s="72" t="s">
        <v>27</v>
      </c>
      <c r="H39" s="59">
        <v>0</v>
      </c>
      <c r="I39" s="60"/>
      <c r="J39" s="61">
        <v>36</v>
      </c>
      <c r="K39" s="81">
        <v>36</v>
      </c>
      <c r="L39" s="52">
        <f t="shared" si="3"/>
        <v>1</v>
      </c>
      <c r="M39" s="59">
        <v>0</v>
      </c>
      <c r="N39" s="63">
        <v>0</v>
      </c>
      <c r="O39" s="64">
        <v>0</v>
      </c>
      <c r="P39" s="64"/>
      <c r="Q39" s="64">
        <f t="shared" si="0"/>
        <v>0</v>
      </c>
      <c r="R39" s="63">
        <v>0</v>
      </c>
      <c r="S39" s="63">
        <v>0</v>
      </c>
      <c r="T39" s="63"/>
      <c r="U39" s="64">
        <f t="shared" si="1"/>
        <v>0</v>
      </c>
      <c r="V39" s="65">
        <v>0</v>
      </c>
      <c r="W39" s="66">
        <v>0</v>
      </c>
      <c r="X39" s="66"/>
      <c r="Y39" s="64">
        <f t="shared" si="4"/>
        <v>0</v>
      </c>
      <c r="Z39" s="67" t="s">
        <v>104</v>
      </c>
      <c r="AA39" s="53"/>
      <c r="AB39" s="53"/>
    </row>
    <row r="40" spans="1:28" s="55" customFormat="1" outlineLevel="1" x14ac:dyDescent="0.3">
      <c r="B40" s="56">
        <v>33</v>
      </c>
      <c r="C40" s="57">
        <v>48010587700</v>
      </c>
      <c r="D40" s="57"/>
      <c r="E40" s="71">
        <v>45695</v>
      </c>
      <c r="F40" s="57" t="s">
        <v>105</v>
      </c>
      <c r="G40" s="72" t="s">
        <v>106</v>
      </c>
      <c r="H40" s="59">
        <v>0</v>
      </c>
      <c r="I40" s="60"/>
      <c r="J40" s="61">
        <v>36</v>
      </c>
      <c r="K40" s="81">
        <v>36</v>
      </c>
      <c r="L40" s="52">
        <f t="shared" si="3"/>
        <v>1</v>
      </c>
      <c r="M40" s="59">
        <v>0</v>
      </c>
      <c r="N40" s="63">
        <v>0</v>
      </c>
      <c r="O40" s="64">
        <v>0</v>
      </c>
      <c r="P40" s="64">
        <v>0</v>
      </c>
      <c r="Q40" s="64">
        <v>0</v>
      </c>
      <c r="R40" s="63">
        <v>0</v>
      </c>
      <c r="S40" s="63">
        <v>0</v>
      </c>
      <c r="T40" s="63">
        <v>0</v>
      </c>
      <c r="U40" s="64">
        <f t="shared" si="1"/>
        <v>0</v>
      </c>
      <c r="V40" s="65">
        <v>0</v>
      </c>
      <c r="W40" s="66">
        <v>0</v>
      </c>
      <c r="X40" s="66"/>
      <c r="Y40" s="64">
        <f t="shared" si="4"/>
        <v>0</v>
      </c>
      <c r="Z40" s="67" t="s">
        <v>107</v>
      </c>
      <c r="AA40" s="53"/>
      <c r="AB40" s="53"/>
    </row>
    <row r="41" spans="1:28" s="55" customFormat="1" outlineLevel="1" x14ac:dyDescent="0.3">
      <c r="B41" s="56">
        <v>34</v>
      </c>
      <c r="C41" s="57"/>
      <c r="D41" s="57"/>
      <c r="E41" s="58">
        <v>45456</v>
      </c>
      <c r="F41" s="57" t="s">
        <v>108</v>
      </c>
      <c r="G41" s="57" t="s">
        <v>33</v>
      </c>
      <c r="H41" s="59">
        <v>0</v>
      </c>
      <c r="I41" s="60"/>
      <c r="J41" s="61">
        <v>24</v>
      </c>
      <c r="K41" s="62">
        <v>24</v>
      </c>
      <c r="L41" s="52">
        <f t="shared" si="3"/>
        <v>1</v>
      </c>
      <c r="M41" s="59">
        <v>0</v>
      </c>
      <c r="N41" s="63">
        <v>0</v>
      </c>
      <c r="O41" s="64">
        <v>0</v>
      </c>
      <c r="P41" s="64">
        <v>0</v>
      </c>
      <c r="Q41" s="64">
        <v>0</v>
      </c>
      <c r="R41" s="63">
        <v>0</v>
      </c>
      <c r="S41" s="63">
        <v>0</v>
      </c>
      <c r="T41" s="63">
        <v>0</v>
      </c>
      <c r="U41" s="64">
        <f t="shared" si="1"/>
        <v>0</v>
      </c>
      <c r="V41" s="65">
        <v>0</v>
      </c>
      <c r="W41" s="66">
        <v>0</v>
      </c>
      <c r="X41" s="66"/>
      <c r="Y41" s="64">
        <f t="shared" si="4"/>
        <v>0</v>
      </c>
      <c r="Z41" s="67" t="s">
        <v>109</v>
      </c>
      <c r="AA41" s="53"/>
      <c r="AB41" s="53"/>
    </row>
    <row r="42" spans="1:28" s="55" customFormat="1" outlineLevel="1" x14ac:dyDescent="0.3">
      <c r="B42" s="56">
        <v>35</v>
      </c>
      <c r="C42" s="57"/>
      <c r="D42" s="57"/>
      <c r="E42" s="58">
        <v>45450</v>
      </c>
      <c r="F42" s="57" t="s">
        <v>110</v>
      </c>
      <c r="G42" s="57" t="s">
        <v>100</v>
      </c>
      <c r="H42" s="59">
        <v>0</v>
      </c>
      <c r="I42" s="60"/>
      <c r="J42" s="61">
        <v>24</v>
      </c>
      <c r="K42" s="62">
        <v>24</v>
      </c>
      <c r="L42" s="52">
        <f t="shared" si="3"/>
        <v>1</v>
      </c>
      <c r="M42" s="59">
        <v>0</v>
      </c>
      <c r="N42" s="63">
        <v>0</v>
      </c>
      <c r="O42" s="64">
        <v>0</v>
      </c>
      <c r="P42" s="64">
        <v>0</v>
      </c>
      <c r="Q42" s="64">
        <v>0</v>
      </c>
      <c r="R42" s="63">
        <v>0</v>
      </c>
      <c r="S42" s="63">
        <v>0</v>
      </c>
      <c r="T42" s="63">
        <v>0</v>
      </c>
      <c r="U42" s="64">
        <f t="shared" si="1"/>
        <v>0</v>
      </c>
      <c r="V42" s="65">
        <v>0</v>
      </c>
      <c r="W42" s="66">
        <v>0</v>
      </c>
      <c r="X42" s="66"/>
      <c r="Y42" s="64">
        <f t="shared" si="4"/>
        <v>0</v>
      </c>
      <c r="Z42" s="68" t="s">
        <v>111</v>
      </c>
      <c r="AA42" s="53"/>
      <c r="AB42" s="53"/>
    </row>
    <row r="43" spans="1:28" s="55" customFormat="1" outlineLevel="1" x14ac:dyDescent="0.3">
      <c r="B43" s="56">
        <v>36</v>
      </c>
      <c r="C43" s="92" t="s">
        <v>112</v>
      </c>
      <c r="D43" s="57"/>
      <c r="E43" s="71">
        <v>45793</v>
      </c>
      <c r="F43" s="57" t="s">
        <v>113</v>
      </c>
      <c r="G43" s="72" t="s">
        <v>114</v>
      </c>
      <c r="H43" s="59">
        <v>0</v>
      </c>
      <c r="I43" s="60"/>
      <c r="J43" s="61">
        <v>24</v>
      </c>
      <c r="K43" s="81">
        <v>24</v>
      </c>
      <c r="L43" s="52">
        <f t="shared" si="3"/>
        <v>1</v>
      </c>
      <c r="M43" s="59">
        <v>0</v>
      </c>
      <c r="N43" s="63">
        <v>0</v>
      </c>
      <c r="O43" s="64">
        <v>0</v>
      </c>
      <c r="P43" s="64">
        <v>0</v>
      </c>
      <c r="Q43" s="64">
        <v>0</v>
      </c>
      <c r="R43" s="63">
        <v>0</v>
      </c>
      <c r="S43" s="63">
        <v>0</v>
      </c>
      <c r="T43" s="63">
        <v>0</v>
      </c>
      <c r="U43" s="64">
        <f t="shared" si="1"/>
        <v>0</v>
      </c>
      <c r="V43" s="65">
        <v>0</v>
      </c>
      <c r="W43" s="66">
        <v>0</v>
      </c>
      <c r="X43" s="66"/>
      <c r="Y43" s="64">
        <f t="shared" si="4"/>
        <v>0</v>
      </c>
      <c r="Z43" s="76" t="s">
        <v>115</v>
      </c>
      <c r="AA43" s="53"/>
      <c r="AB43" s="53"/>
    </row>
    <row r="44" spans="1:28" s="55" customFormat="1" outlineLevel="1" x14ac:dyDescent="0.3">
      <c r="B44" s="56">
        <v>37</v>
      </c>
      <c r="C44" s="57"/>
      <c r="D44" s="57"/>
      <c r="E44" s="71">
        <v>45638</v>
      </c>
      <c r="F44" s="57" t="s">
        <v>116</v>
      </c>
      <c r="G44" s="72" t="s">
        <v>117</v>
      </c>
      <c r="H44" s="59">
        <v>0</v>
      </c>
      <c r="I44" s="60"/>
      <c r="J44" s="61">
        <v>24</v>
      </c>
      <c r="K44" s="73">
        <v>24</v>
      </c>
      <c r="L44" s="52">
        <f t="shared" si="3"/>
        <v>1</v>
      </c>
      <c r="M44" s="59">
        <v>0</v>
      </c>
      <c r="N44" s="63">
        <v>0</v>
      </c>
      <c r="O44" s="64">
        <v>0</v>
      </c>
      <c r="P44" s="64">
        <v>0</v>
      </c>
      <c r="Q44" s="64">
        <v>0</v>
      </c>
      <c r="R44" s="63">
        <v>0</v>
      </c>
      <c r="S44" s="63">
        <v>0</v>
      </c>
      <c r="T44" s="63">
        <v>0</v>
      </c>
      <c r="U44" s="64">
        <f t="shared" si="1"/>
        <v>0</v>
      </c>
      <c r="V44" s="65">
        <v>0</v>
      </c>
      <c r="W44" s="66">
        <v>0</v>
      </c>
      <c r="X44" s="66"/>
      <c r="Y44" s="64">
        <f t="shared" si="4"/>
        <v>0</v>
      </c>
      <c r="Z44" s="76" t="s">
        <v>118</v>
      </c>
      <c r="AA44" s="53"/>
      <c r="AB44" s="53"/>
    </row>
    <row r="45" spans="1:28" s="55" customFormat="1" outlineLevel="1" x14ac:dyDescent="0.3">
      <c r="B45" s="56">
        <v>38</v>
      </c>
      <c r="C45" s="57"/>
      <c r="D45" s="57"/>
      <c r="E45" s="71">
        <v>45575</v>
      </c>
      <c r="F45" s="57" t="s">
        <v>119</v>
      </c>
      <c r="G45" s="72" t="s">
        <v>117</v>
      </c>
      <c r="H45" s="59">
        <v>0</v>
      </c>
      <c r="I45" s="60"/>
      <c r="J45" s="61">
        <v>24</v>
      </c>
      <c r="K45" s="73">
        <v>24</v>
      </c>
      <c r="L45" s="52">
        <f t="shared" si="3"/>
        <v>1</v>
      </c>
      <c r="M45" s="59">
        <v>0</v>
      </c>
      <c r="N45" s="63">
        <v>0</v>
      </c>
      <c r="O45" s="64">
        <v>0</v>
      </c>
      <c r="P45" s="64">
        <v>0</v>
      </c>
      <c r="Q45" s="64">
        <v>0</v>
      </c>
      <c r="R45" s="63">
        <v>0</v>
      </c>
      <c r="S45" s="63">
        <v>0</v>
      </c>
      <c r="T45" s="63">
        <v>0</v>
      </c>
      <c r="U45" s="64">
        <f t="shared" si="1"/>
        <v>0</v>
      </c>
      <c r="V45" s="65">
        <v>0</v>
      </c>
      <c r="W45" s="66">
        <v>0</v>
      </c>
      <c r="X45" s="66"/>
      <c r="Y45" s="64">
        <f t="shared" si="4"/>
        <v>0</v>
      </c>
      <c r="Z45" s="76" t="s">
        <v>120</v>
      </c>
      <c r="AA45" s="53"/>
      <c r="AB45" s="53"/>
    </row>
    <row r="46" spans="1:28" s="55" customFormat="1" outlineLevel="1" x14ac:dyDescent="0.3">
      <c r="B46" s="56">
        <v>39</v>
      </c>
      <c r="C46" s="57"/>
      <c r="D46" s="57"/>
      <c r="E46" s="69">
        <v>45516</v>
      </c>
      <c r="F46" s="57" t="s">
        <v>121</v>
      </c>
      <c r="G46" s="57" t="s">
        <v>122</v>
      </c>
      <c r="H46" s="59">
        <v>0</v>
      </c>
      <c r="I46" s="60"/>
      <c r="J46" s="61">
        <v>24</v>
      </c>
      <c r="K46" s="70">
        <v>24</v>
      </c>
      <c r="L46" s="52">
        <f t="shared" si="3"/>
        <v>1</v>
      </c>
      <c r="M46" s="59">
        <v>0</v>
      </c>
      <c r="N46" s="63">
        <v>0</v>
      </c>
      <c r="O46" s="64">
        <v>0</v>
      </c>
      <c r="P46" s="64">
        <v>0</v>
      </c>
      <c r="Q46" s="64">
        <v>0</v>
      </c>
      <c r="R46" s="94">
        <v>0</v>
      </c>
      <c r="S46" s="94">
        <v>0</v>
      </c>
      <c r="T46" s="94">
        <v>0</v>
      </c>
      <c r="U46" s="64">
        <f t="shared" si="1"/>
        <v>0</v>
      </c>
      <c r="V46" s="65">
        <v>0</v>
      </c>
      <c r="W46" s="66">
        <v>0</v>
      </c>
      <c r="X46" s="66"/>
      <c r="Y46" s="64">
        <f t="shared" si="4"/>
        <v>0</v>
      </c>
      <c r="Z46" s="76" t="s">
        <v>123</v>
      </c>
      <c r="AA46" s="53"/>
      <c r="AB46" s="53"/>
    </row>
    <row r="47" spans="1:28" s="55" customFormat="1" outlineLevel="1" x14ac:dyDescent="0.3">
      <c r="B47" s="56">
        <v>40</v>
      </c>
      <c r="C47" s="92" t="s">
        <v>124</v>
      </c>
      <c r="D47" s="57"/>
      <c r="E47" s="71">
        <v>45701</v>
      </c>
      <c r="F47" s="57" t="s">
        <v>125</v>
      </c>
      <c r="G47" s="72" t="s">
        <v>117</v>
      </c>
      <c r="H47" s="59">
        <v>0</v>
      </c>
      <c r="I47" s="60"/>
      <c r="J47" s="61">
        <v>36</v>
      </c>
      <c r="K47" s="81">
        <v>36</v>
      </c>
      <c r="L47" s="52">
        <f t="shared" si="3"/>
        <v>1</v>
      </c>
      <c r="M47" s="59">
        <v>0</v>
      </c>
      <c r="N47" s="63">
        <v>0</v>
      </c>
      <c r="O47" s="64">
        <v>0</v>
      </c>
      <c r="P47" s="64">
        <v>0</v>
      </c>
      <c r="Q47" s="64">
        <v>0</v>
      </c>
      <c r="R47" s="94">
        <v>0</v>
      </c>
      <c r="S47" s="94">
        <v>0</v>
      </c>
      <c r="T47" s="94">
        <v>0</v>
      </c>
      <c r="U47" s="64">
        <f t="shared" si="1"/>
        <v>0</v>
      </c>
      <c r="V47" s="65">
        <v>0</v>
      </c>
      <c r="W47" s="66">
        <v>0</v>
      </c>
      <c r="X47" s="66"/>
      <c r="Y47" s="64">
        <f t="shared" si="4"/>
        <v>0</v>
      </c>
      <c r="Z47" s="76" t="s">
        <v>126</v>
      </c>
      <c r="AA47" s="53"/>
      <c r="AB47" s="53"/>
    </row>
    <row r="48" spans="1:28" s="55" customFormat="1" outlineLevel="1" x14ac:dyDescent="0.3">
      <c r="A48" s="55" t="s">
        <v>127</v>
      </c>
      <c r="B48" s="56">
        <v>41</v>
      </c>
      <c r="C48" s="92" t="s">
        <v>128</v>
      </c>
      <c r="D48" s="57"/>
      <c r="E48" s="71">
        <v>45860</v>
      </c>
      <c r="F48" s="57" t="s">
        <v>129</v>
      </c>
      <c r="G48" s="72" t="s">
        <v>130</v>
      </c>
      <c r="H48" s="59">
        <v>0</v>
      </c>
      <c r="I48" s="60">
        <v>2.5000000000000001E-2</v>
      </c>
      <c r="J48" s="61">
        <v>36</v>
      </c>
      <c r="K48" s="81">
        <v>36</v>
      </c>
      <c r="L48" s="52">
        <f t="shared" si="3"/>
        <v>1</v>
      </c>
      <c r="M48" s="59">
        <v>0</v>
      </c>
      <c r="N48" s="63">
        <v>0</v>
      </c>
      <c r="O48" s="64">
        <v>0</v>
      </c>
      <c r="P48" s="64">
        <v>0</v>
      </c>
      <c r="Q48" s="64">
        <v>0</v>
      </c>
      <c r="R48" s="94">
        <v>0</v>
      </c>
      <c r="S48" s="94">
        <v>0</v>
      </c>
      <c r="T48" s="94">
        <v>0</v>
      </c>
      <c r="U48" s="64">
        <f t="shared" si="1"/>
        <v>0</v>
      </c>
      <c r="V48" s="65">
        <v>0</v>
      </c>
      <c r="W48" s="66">
        <v>0</v>
      </c>
      <c r="X48" s="66">
        <v>0</v>
      </c>
      <c r="Y48" s="64">
        <f t="shared" si="4"/>
        <v>0</v>
      </c>
      <c r="Z48" s="76" t="s">
        <v>131</v>
      </c>
      <c r="AA48" s="53"/>
      <c r="AB48" s="53"/>
    </row>
    <row r="49" spans="1:28" s="55" customFormat="1" outlineLevel="1" x14ac:dyDescent="0.3">
      <c r="B49" s="56">
        <v>42</v>
      </c>
      <c r="C49" s="57"/>
      <c r="D49" s="57"/>
      <c r="E49" s="58">
        <v>45447</v>
      </c>
      <c r="F49" s="57" t="s">
        <v>132</v>
      </c>
      <c r="G49" s="57" t="s">
        <v>133</v>
      </c>
      <c r="H49" s="59">
        <v>2300000</v>
      </c>
      <c r="I49" s="60"/>
      <c r="J49" s="61">
        <v>24</v>
      </c>
      <c r="K49" s="62">
        <v>24</v>
      </c>
      <c r="L49" s="52">
        <f t="shared" si="3"/>
        <v>1</v>
      </c>
      <c r="M49" s="59">
        <v>842026.66666666698</v>
      </c>
      <c r="N49" s="63">
        <v>842027</v>
      </c>
      <c r="O49" s="64">
        <f>153333*2+4640</f>
        <v>311306</v>
      </c>
      <c r="P49" s="64"/>
      <c r="Q49" s="64">
        <f t="shared" ref="Q49:Q58" si="5">+N49+O49</f>
        <v>1153333</v>
      </c>
      <c r="R49" s="94">
        <v>0</v>
      </c>
      <c r="S49" s="94">
        <v>0</v>
      </c>
      <c r="T49" s="94">
        <f>'[1]OKT''25'!S142+P49-X49</f>
        <v>0</v>
      </c>
      <c r="U49" s="64">
        <f t="shared" ref="U49:U59" si="6">+R49+S49+T49</f>
        <v>0</v>
      </c>
      <c r="V49" s="65">
        <v>842027</v>
      </c>
      <c r="W49" s="66">
        <f>306666+4640</f>
        <v>311306</v>
      </c>
      <c r="X49" s="66">
        <v>0</v>
      </c>
      <c r="Y49" s="64">
        <f t="shared" ref="Y49:Y59" si="7">+V49+W49+X49</f>
        <v>1153333</v>
      </c>
      <c r="Z49" s="95">
        <f t="shared" ref="Z49:Z53" si="8">SUM(M49-V49)</f>
        <v>-0.33333333302289248</v>
      </c>
      <c r="AA49" s="96"/>
      <c r="AB49" s="53"/>
    </row>
    <row r="50" spans="1:28" s="55" customFormat="1" outlineLevel="1" x14ac:dyDescent="0.3">
      <c r="B50" s="56">
        <v>43</v>
      </c>
      <c r="C50" s="57"/>
      <c r="D50" s="57"/>
      <c r="E50" s="71">
        <v>45573</v>
      </c>
      <c r="F50" s="57" t="s">
        <v>134</v>
      </c>
      <c r="G50" s="72" t="s">
        <v>27</v>
      </c>
      <c r="H50" s="59">
        <v>3600000</v>
      </c>
      <c r="I50" s="60"/>
      <c r="J50" s="61">
        <f>(H50-Z50)/N50</f>
        <v>12</v>
      </c>
      <c r="K50" s="73">
        <v>12</v>
      </c>
      <c r="L50" s="52">
        <f t="shared" si="3"/>
        <v>1</v>
      </c>
      <c r="M50" s="59">
        <f>'[1]OKT''25'!Y287</f>
        <v>0</v>
      </c>
      <c r="N50" s="63">
        <f>SUM(H50/K50)</f>
        <v>300000</v>
      </c>
      <c r="O50" s="64">
        <f>SUM(H50*2.5/100)</f>
        <v>90000</v>
      </c>
      <c r="P50" s="64"/>
      <c r="Q50" s="64">
        <f t="shared" si="5"/>
        <v>390000</v>
      </c>
      <c r="R50" s="94">
        <v>0</v>
      </c>
      <c r="S50" s="94">
        <v>0</v>
      </c>
      <c r="T50" s="94">
        <f>'[1]OKT''25'!S287+P50-X50</f>
        <v>0</v>
      </c>
      <c r="U50" s="64">
        <f t="shared" si="6"/>
        <v>0</v>
      </c>
      <c r="V50" s="65"/>
      <c r="W50" s="66"/>
      <c r="X50" s="66"/>
      <c r="Y50" s="64">
        <f t="shared" si="7"/>
        <v>0</v>
      </c>
      <c r="Z50" s="67">
        <f t="shared" si="8"/>
        <v>0</v>
      </c>
      <c r="AA50" s="96"/>
      <c r="AB50" s="53"/>
    </row>
    <row r="51" spans="1:28" s="55" customFormat="1" outlineLevel="1" x14ac:dyDescent="0.3">
      <c r="A51" s="55" t="s">
        <v>127</v>
      </c>
      <c r="B51" s="56">
        <v>44</v>
      </c>
      <c r="C51" s="57"/>
      <c r="D51" s="57"/>
      <c r="E51" s="71">
        <v>45600</v>
      </c>
      <c r="F51" s="57" t="s">
        <v>135</v>
      </c>
      <c r="G51" s="72" t="s">
        <v>117</v>
      </c>
      <c r="H51" s="59">
        <v>3160000</v>
      </c>
      <c r="I51" s="60"/>
      <c r="J51" s="61">
        <v>24</v>
      </c>
      <c r="K51" s="73">
        <v>24</v>
      </c>
      <c r="L51" s="52">
        <f t="shared" si="3"/>
        <v>1</v>
      </c>
      <c r="M51" s="59">
        <v>1711666.66666667</v>
      </c>
      <c r="N51" s="63">
        <v>1711666.66666667</v>
      </c>
      <c r="O51" s="64">
        <f>210667*2</f>
        <v>421334</v>
      </c>
      <c r="P51" s="64"/>
      <c r="Q51" s="64">
        <f t="shared" si="5"/>
        <v>2133000.6666666698</v>
      </c>
      <c r="R51" s="94">
        <v>0</v>
      </c>
      <c r="S51" s="94">
        <v>0</v>
      </c>
      <c r="T51" s="94">
        <f>'[1]OKT''25'!S308+P51-X51</f>
        <v>0</v>
      </c>
      <c r="U51" s="64">
        <f t="shared" si="6"/>
        <v>0</v>
      </c>
      <c r="V51" s="65">
        <v>1711666.66666667</v>
      </c>
      <c r="W51" s="66">
        <v>421334</v>
      </c>
      <c r="X51" s="66"/>
      <c r="Y51" s="64">
        <f t="shared" si="7"/>
        <v>2133000.6666666698</v>
      </c>
      <c r="Z51" s="67">
        <f t="shared" si="8"/>
        <v>0</v>
      </c>
      <c r="AA51" s="96"/>
      <c r="AB51" s="53"/>
    </row>
    <row r="52" spans="1:28" s="55" customFormat="1" outlineLevel="1" x14ac:dyDescent="0.3">
      <c r="B52" s="56">
        <v>45</v>
      </c>
      <c r="C52" s="57"/>
      <c r="D52" s="57"/>
      <c r="E52" s="71">
        <v>45576</v>
      </c>
      <c r="F52" s="57" t="s">
        <v>136</v>
      </c>
      <c r="G52" s="72" t="s">
        <v>30</v>
      </c>
      <c r="H52" s="59">
        <v>1800000</v>
      </c>
      <c r="I52" s="60"/>
      <c r="J52" s="61">
        <v>24</v>
      </c>
      <c r="K52" s="73">
        <v>24</v>
      </c>
      <c r="L52" s="52">
        <f t="shared" si="3"/>
        <v>1</v>
      </c>
      <c r="M52" s="59">
        <v>900000</v>
      </c>
      <c r="N52" s="63">
        <v>900000</v>
      </c>
      <c r="O52" s="64">
        <f>120000*2</f>
        <v>240000</v>
      </c>
      <c r="P52" s="64"/>
      <c r="Q52" s="64">
        <f t="shared" si="5"/>
        <v>1140000</v>
      </c>
      <c r="R52" s="94">
        <v>0</v>
      </c>
      <c r="S52" s="94">
        <v>0</v>
      </c>
      <c r="T52" s="94">
        <f>'[1]OKT''25'!S292+P52-X52</f>
        <v>0</v>
      </c>
      <c r="U52" s="64">
        <f t="shared" si="6"/>
        <v>0</v>
      </c>
      <c r="V52" s="65">
        <v>900000</v>
      </c>
      <c r="W52" s="66">
        <v>240000</v>
      </c>
      <c r="X52" s="66"/>
      <c r="Y52" s="64">
        <f t="shared" si="7"/>
        <v>1140000</v>
      </c>
      <c r="Z52" s="67">
        <f t="shared" si="8"/>
        <v>0</v>
      </c>
      <c r="AA52" s="96"/>
      <c r="AB52" s="53"/>
    </row>
    <row r="53" spans="1:28" s="55" customFormat="1" outlineLevel="1" x14ac:dyDescent="0.3">
      <c r="A53" s="55" t="s">
        <v>127</v>
      </c>
      <c r="B53" s="56">
        <v>46</v>
      </c>
      <c r="C53" s="57"/>
      <c r="D53" s="57"/>
      <c r="E53" s="71">
        <v>45602</v>
      </c>
      <c r="F53" s="57" t="s">
        <v>137</v>
      </c>
      <c r="G53" s="72" t="s">
        <v>33</v>
      </c>
      <c r="H53" s="59">
        <v>5990000</v>
      </c>
      <c r="I53" s="60"/>
      <c r="J53" s="61">
        <v>24</v>
      </c>
      <c r="K53" s="73">
        <v>24</v>
      </c>
      <c r="L53" s="52">
        <f t="shared" si="3"/>
        <v>1</v>
      </c>
      <c r="M53" s="59">
        <v>3244583.3333333302</v>
      </c>
      <c r="N53" s="63">
        <v>3244583.3333333302</v>
      </c>
      <c r="O53" s="64">
        <f>399333*2</f>
        <v>798666</v>
      </c>
      <c r="P53" s="64"/>
      <c r="Q53" s="64">
        <f t="shared" si="5"/>
        <v>4043249.3333333302</v>
      </c>
      <c r="R53" s="94">
        <v>0</v>
      </c>
      <c r="S53" s="94">
        <v>0</v>
      </c>
      <c r="T53" s="94">
        <v>0</v>
      </c>
      <c r="U53" s="64">
        <f t="shared" si="6"/>
        <v>0</v>
      </c>
      <c r="V53" s="65">
        <v>3244583.3333333302</v>
      </c>
      <c r="W53" s="66">
        <v>798666</v>
      </c>
      <c r="X53" s="66"/>
      <c r="Y53" s="64">
        <f t="shared" si="7"/>
        <v>4043249.3333333302</v>
      </c>
      <c r="Z53" s="67">
        <f t="shared" si="8"/>
        <v>0</v>
      </c>
      <c r="AA53" s="96"/>
      <c r="AB53" s="53"/>
    </row>
    <row r="54" spans="1:28" s="55" customFormat="1" outlineLevel="1" x14ac:dyDescent="0.3">
      <c r="B54" s="56">
        <v>47</v>
      </c>
      <c r="C54" s="57"/>
      <c r="D54" s="57"/>
      <c r="E54" s="71">
        <v>45664</v>
      </c>
      <c r="F54" s="57" t="s">
        <v>138</v>
      </c>
      <c r="G54" s="72" t="s">
        <v>139</v>
      </c>
      <c r="H54" s="59">
        <v>22770000</v>
      </c>
      <c r="I54" s="60"/>
      <c r="J54" s="61">
        <v>36</v>
      </c>
      <c r="K54" s="81">
        <v>36</v>
      </c>
      <c r="L54" s="52">
        <f t="shared" si="3"/>
        <v>1</v>
      </c>
      <c r="M54" s="59">
        <v>17077500</v>
      </c>
      <c r="N54" s="63">
        <v>17077500</v>
      </c>
      <c r="O54" s="64">
        <v>922500</v>
      </c>
      <c r="P54" s="64"/>
      <c r="Q54" s="64">
        <f t="shared" si="5"/>
        <v>18000000</v>
      </c>
      <c r="R54" s="94">
        <v>0</v>
      </c>
      <c r="S54" s="94">
        <v>0</v>
      </c>
      <c r="T54" s="94">
        <f>'[1]OKT''25'!S294+P54-X54</f>
        <v>0</v>
      </c>
      <c r="U54" s="64">
        <f t="shared" si="6"/>
        <v>0</v>
      </c>
      <c r="V54" s="65">
        <v>17077500</v>
      </c>
      <c r="W54" s="66">
        <v>922500</v>
      </c>
      <c r="X54" s="66"/>
      <c r="Y54" s="64">
        <f t="shared" si="7"/>
        <v>18000000</v>
      </c>
      <c r="Z54" s="67">
        <f t="shared" ref="Z54:Z59" si="9">SUM(M54-V54)</f>
        <v>0</v>
      </c>
      <c r="AA54" s="96"/>
      <c r="AB54" s="53"/>
    </row>
    <row r="55" spans="1:28" s="54" customFormat="1" x14ac:dyDescent="0.3">
      <c r="B55" s="56">
        <v>10</v>
      </c>
      <c r="C55" s="57"/>
      <c r="D55" s="57"/>
      <c r="E55" s="58">
        <v>45448</v>
      </c>
      <c r="F55" s="57" t="s">
        <v>140</v>
      </c>
      <c r="G55" s="57" t="s">
        <v>33</v>
      </c>
      <c r="H55" s="59">
        <v>12000000</v>
      </c>
      <c r="I55" s="60"/>
      <c r="J55" s="61">
        <v>24</v>
      </c>
      <c r="K55" s="62">
        <v>24</v>
      </c>
      <c r="L55" s="52">
        <f t="shared" si="3"/>
        <v>1</v>
      </c>
      <c r="M55" s="59">
        <v>3500000</v>
      </c>
      <c r="N55" s="63">
        <v>3500000</v>
      </c>
      <c r="O55" s="64">
        <v>1600000</v>
      </c>
      <c r="P55" s="64"/>
      <c r="Q55" s="64">
        <f t="shared" si="5"/>
        <v>5100000</v>
      </c>
      <c r="R55" s="94">
        <v>0</v>
      </c>
      <c r="S55" s="94">
        <v>0</v>
      </c>
      <c r="T55" s="94">
        <v>0</v>
      </c>
      <c r="U55" s="64">
        <f t="shared" si="6"/>
        <v>0</v>
      </c>
      <c r="V55" s="65">
        <v>3500000</v>
      </c>
      <c r="W55" s="66">
        <v>1600000</v>
      </c>
      <c r="X55" s="66"/>
      <c r="Y55" s="64">
        <f t="shared" si="7"/>
        <v>5100000</v>
      </c>
      <c r="Z55" s="95">
        <f t="shared" si="9"/>
        <v>0</v>
      </c>
      <c r="AA55" s="98"/>
      <c r="AB55" s="97"/>
    </row>
    <row r="56" spans="1:28" s="54" customFormat="1" x14ac:dyDescent="0.3">
      <c r="B56" s="56">
        <v>37</v>
      </c>
      <c r="C56" s="57"/>
      <c r="D56" s="57"/>
      <c r="E56" s="58">
        <v>45478</v>
      </c>
      <c r="F56" s="57" t="s">
        <v>141</v>
      </c>
      <c r="G56" s="57" t="s">
        <v>142</v>
      </c>
      <c r="H56" s="59">
        <v>1700000</v>
      </c>
      <c r="I56" s="60"/>
      <c r="J56" s="61">
        <v>24</v>
      </c>
      <c r="K56" s="62">
        <v>24</v>
      </c>
      <c r="L56" s="52">
        <f t="shared" si="3"/>
        <v>1</v>
      </c>
      <c r="M56" s="59">
        <v>566669</v>
      </c>
      <c r="N56" s="63">
        <v>566669</v>
      </c>
      <c r="O56" s="64">
        <v>226667</v>
      </c>
      <c r="P56" s="64"/>
      <c r="Q56" s="64">
        <f t="shared" si="5"/>
        <v>793336</v>
      </c>
      <c r="R56" s="94">
        <v>0</v>
      </c>
      <c r="S56" s="94">
        <v>0</v>
      </c>
      <c r="T56" s="94">
        <f>'[1]OKT''25'!S296+P56-X56</f>
        <v>0</v>
      </c>
      <c r="U56" s="64">
        <f t="shared" si="6"/>
        <v>0</v>
      </c>
      <c r="V56" s="65">
        <v>566669</v>
      </c>
      <c r="W56" s="66">
        <v>226667</v>
      </c>
      <c r="X56" s="66"/>
      <c r="Y56" s="64">
        <f t="shared" si="7"/>
        <v>793336</v>
      </c>
      <c r="Z56" s="67">
        <f t="shared" si="9"/>
        <v>0</v>
      </c>
      <c r="AA56" s="98"/>
      <c r="AB56" s="97"/>
    </row>
    <row r="57" spans="1:28" s="54" customFormat="1" x14ac:dyDescent="0.3">
      <c r="A57" s="54" t="s">
        <v>143</v>
      </c>
      <c r="B57" s="56">
        <v>76</v>
      </c>
      <c r="C57" s="57"/>
      <c r="D57" s="57"/>
      <c r="E57" s="69">
        <v>45516</v>
      </c>
      <c r="F57" s="57" t="s">
        <v>144</v>
      </c>
      <c r="G57" s="57" t="s">
        <v>38</v>
      </c>
      <c r="H57" s="59">
        <v>10000000</v>
      </c>
      <c r="I57" s="60"/>
      <c r="J57" s="61">
        <v>24</v>
      </c>
      <c r="K57" s="70">
        <v>24</v>
      </c>
      <c r="L57" s="52">
        <f t="shared" si="3"/>
        <v>1</v>
      </c>
      <c r="M57" s="59">
        <v>3749999.6666666698</v>
      </c>
      <c r="N57" s="63">
        <v>3750000</v>
      </c>
      <c r="O57" s="64">
        <f>666667*2</f>
        <v>1333334</v>
      </c>
      <c r="P57" s="64"/>
      <c r="Q57" s="64">
        <f t="shared" si="5"/>
        <v>5083334</v>
      </c>
      <c r="R57" s="94">
        <v>0</v>
      </c>
      <c r="S57" s="94">
        <v>0</v>
      </c>
      <c r="T57" s="94">
        <v>0</v>
      </c>
      <c r="U57" s="64">
        <f t="shared" si="6"/>
        <v>0</v>
      </c>
      <c r="V57" s="65">
        <v>3750000</v>
      </c>
      <c r="W57" s="66">
        <v>1333334</v>
      </c>
      <c r="X57" s="66"/>
      <c r="Y57" s="64">
        <f t="shared" si="7"/>
        <v>5083334</v>
      </c>
      <c r="Z57" s="67">
        <f t="shared" si="9"/>
        <v>-0.33333333022892475</v>
      </c>
      <c r="AA57" s="98"/>
      <c r="AB57" s="97"/>
    </row>
    <row r="58" spans="1:28" s="54" customFormat="1" x14ac:dyDescent="0.3">
      <c r="B58" s="56">
        <v>328</v>
      </c>
      <c r="C58" s="92" t="s">
        <v>145</v>
      </c>
      <c r="D58" s="57"/>
      <c r="E58" s="71">
        <v>45783</v>
      </c>
      <c r="F58" s="57" t="s">
        <v>146</v>
      </c>
      <c r="G58" s="72" t="s">
        <v>147</v>
      </c>
      <c r="H58" s="59">
        <v>13800000</v>
      </c>
      <c r="I58" s="60"/>
      <c r="J58" s="61">
        <v>36</v>
      </c>
      <c r="K58" s="81">
        <v>36</v>
      </c>
      <c r="L58" s="52">
        <f t="shared" si="3"/>
        <v>1</v>
      </c>
      <c r="M58" s="59">
        <v>11500000</v>
      </c>
      <c r="N58" s="63">
        <v>11500000</v>
      </c>
      <c r="O58" s="64">
        <f>797333*2</f>
        <v>1594666</v>
      </c>
      <c r="P58" s="64"/>
      <c r="Q58" s="64">
        <f t="shared" si="5"/>
        <v>13094666</v>
      </c>
      <c r="R58" s="94">
        <v>0</v>
      </c>
      <c r="S58" s="94">
        <v>0</v>
      </c>
      <c r="T58" s="94">
        <v>0</v>
      </c>
      <c r="U58" s="64">
        <f t="shared" si="6"/>
        <v>0</v>
      </c>
      <c r="V58" s="65">
        <v>11500000</v>
      </c>
      <c r="W58" s="66">
        <v>1594666</v>
      </c>
      <c r="X58" s="66"/>
      <c r="Y58" s="64">
        <f t="shared" si="7"/>
        <v>13094666</v>
      </c>
      <c r="Z58" s="67">
        <f t="shared" si="9"/>
        <v>0</v>
      </c>
      <c r="AA58" s="98"/>
      <c r="AB58" s="97"/>
    </row>
    <row r="59" spans="1:28" s="54" customFormat="1" x14ac:dyDescent="0.3">
      <c r="B59" s="56">
        <v>438</v>
      </c>
      <c r="C59" s="92" t="s">
        <v>148</v>
      </c>
      <c r="D59" s="57"/>
      <c r="E59" s="71">
        <v>45860</v>
      </c>
      <c r="F59" s="57" t="s">
        <v>149</v>
      </c>
      <c r="G59" s="72" t="s">
        <v>150</v>
      </c>
      <c r="H59" s="59">
        <v>30000000</v>
      </c>
      <c r="I59" s="60">
        <v>2.5000000000000001E-2</v>
      </c>
      <c r="J59" s="61">
        <v>36</v>
      </c>
      <c r="K59" s="81">
        <v>36</v>
      </c>
      <c r="L59" s="52">
        <f t="shared" si="3"/>
        <v>1</v>
      </c>
      <c r="M59" s="59">
        <v>28333333</v>
      </c>
      <c r="N59" s="63">
        <v>28333333</v>
      </c>
      <c r="O59" s="64">
        <f>1593333*2</f>
        <v>3186666</v>
      </c>
      <c r="P59" s="64">
        <v>10000</v>
      </c>
      <c r="Q59" s="64">
        <f>+N59+O59+P59</f>
        <v>31529999</v>
      </c>
      <c r="R59" s="94">
        <v>0</v>
      </c>
      <c r="S59" s="94">
        <v>0</v>
      </c>
      <c r="T59" s="94">
        <v>0</v>
      </c>
      <c r="U59" s="64">
        <f t="shared" si="6"/>
        <v>0</v>
      </c>
      <c r="V59" s="65">
        <v>28333333</v>
      </c>
      <c r="W59" s="66">
        <v>3186666</v>
      </c>
      <c r="X59" s="66"/>
      <c r="Y59" s="64">
        <f t="shared" si="7"/>
        <v>31519999</v>
      </c>
      <c r="Z59" s="67">
        <f t="shared" si="9"/>
        <v>0</v>
      </c>
      <c r="AA59" s="98"/>
      <c r="AB59" s="97"/>
    </row>
    <row r="60" spans="1:28" s="55" customFormat="1" outlineLevel="1" x14ac:dyDescent="0.3">
      <c r="B60" s="100">
        <v>1</v>
      </c>
      <c r="C60" s="101"/>
      <c r="D60" s="101"/>
      <c r="E60" s="102">
        <v>45448</v>
      </c>
      <c r="F60" s="101" t="s">
        <v>152</v>
      </c>
      <c r="G60" s="101" t="s">
        <v>38</v>
      </c>
      <c r="H60" s="103">
        <v>0</v>
      </c>
      <c r="I60" s="104"/>
      <c r="J60" s="105">
        <v>12</v>
      </c>
      <c r="K60" s="105">
        <v>12</v>
      </c>
      <c r="L60" s="106">
        <f t="shared" si="3"/>
        <v>1</v>
      </c>
      <c r="M60" s="107">
        <v>0</v>
      </c>
      <c r="N60" s="108">
        <v>0</v>
      </c>
      <c r="O60" s="109">
        <v>0</v>
      </c>
      <c r="P60" s="109"/>
      <c r="Q60" s="109">
        <f t="shared" ref="Q60:Q101" si="10">+N60+O60</f>
        <v>0</v>
      </c>
      <c r="R60" s="108">
        <v>0</v>
      </c>
      <c r="S60" s="109">
        <v>0</v>
      </c>
      <c r="T60" s="109"/>
      <c r="U60" s="109">
        <f>+R60+S60</f>
        <v>0</v>
      </c>
      <c r="V60" s="110">
        <v>0</v>
      </c>
      <c r="W60" s="111">
        <v>0</v>
      </c>
      <c r="X60" s="111"/>
      <c r="Y60" s="109">
        <f t="shared" si="4"/>
        <v>0</v>
      </c>
      <c r="Z60" s="112" t="s">
        <v>153</v>
      </c>
      <c r="AA60" s="53"/>
      <c r="AB60" s="53"/>
    </row>
    <row r="61" spans="1:28" s="55" customFormat="1" outlineLevel="1" x14ac:dyDescent="0.3">
      <c r="B61" s="100">
        <v>2</v>
      </c>
      <c r="C61" s="99"/>
      <c r="D61" s="99"/>
      <c r="E61" s="113">
        <v>45427</v>
      </c>
      <c r="F61" s="114" t="s">
        <v>154</v>
      </c>
      <c r="G61" s="115" t="s">
        <v>38</v>
      </c>
      <c r="H61" s="103">
        <v>0</v>
      </c>
      <c r="I61" s="104"/>
      <c r="J61" s="105">
        <v>12</v>
      </c>
      <c r="K61" s="105">
        <v>12</v>
      </c>
      <c r="L61" s="106">
        <f t="shared" si="3"/>
        <v>1</v>
      </c>
      <c r="M61" s="107">
        <v>0</v>
      </c>
      <c r="N61" s="108">
        <v>0</v>
      </c>
      <c r="O61" s="109">
        <v>0</v>
      </c>
      <c r="P61" s="109"/>
      <c r="Q61" s="109">
        <f t="shared" si="10"/>
        <v>0</v>
      </c>
      <c r="R61" s="116">
        <v>0</v>
      </c>
      <c r="S61" s="116">
        <v>0</v>
      </c>
      <c r="T61" s="116"/>
      <c r="U61" s="103">
        <v>0</v>
      </c>
      <c r="V61" s="110">
        <v>0</v>
      </c>
      <c r="W61" s="111">
        <v>0</v>
      </c>
      <c r="X61" s="111"/>
      <c r="Y61" s="109">
        <f t="shared" si="4"/>
        <v>0</v>
      </c>
      <c r="Z61" s="112" t="s">
        <v>155</v>
      </c>
      <c r="AA61" s="53"/>
      <c r="AB61" s="53"/>
    </row>
    <row r="62" spans="1:28" s="55" customFormat="1" outlineLevel="1" x14ac:dyDescent="0.3">
      <c r="B62" s="100">
        <v>3</v>
      </c>
      <c r="C62" s="100"/>
      <c r="D62" s="100"/>
      <c r="E62" s="113">
        <v>45427</v>
      </c>
      <c r="F62" s="114" t="s">
        <v>73</v>
      </c>
      <c r="G62" s="115" t="s">
        <v>38</v>
      </c>
      <c r="H62" s="103">
        <v>0</v>
      </c>
      <c r="I62" s="104"/>
      <c r="J62" s="105">
        <v>24</v>
      </c>
      <c r="K62" s="105">
        <v>24</v>
      </c>
      <c r="L62" s="106">
        <f t="shared" si="3"/>
        <v>1</v>
      </c>
      <c r="M62" s="107">
        <v>0</v>
      </c>
      <c r="N62" s="108">
        <v>0</v>
      </c>
      <c r="O62" s="109">
        <v>0</v>
      </c>
      <c r="P62" s="109"/>
      <c r="Q62" s="109">
        <f t="shared" si="10"/>
        <v>0</v>
      </c>
      <c r="R62" s="108">
        <v>0</v>
      </c>
      <c r="S62" s="108">
        <v>0</v>
      </c>
      <c r="T62" s="108"/>
      <c r="U62" s="108">
        <f>+R62+S62</f>
        <v>0</v>
      </c>
      <c r="V62" s="110">
        <v>0</v>
      </c>
      <c r="W62" s="111">
        <v>0</v>
      </c>
      <c r="X62" s="111"/>
      <c r="Y62" s="109">
        <f t="shared" si="4"/>
        <v>0</v>
      </c>
      <c r="Z62" s="112" t="s">
        <v>155</v>
      </c>
      <c r="AA62" s="53"/>
      <c r="AB62" s="53"/>
    </row>
    <row r="63" spans="1:28" s="55" customFormat="1" outlineLevel="1" x14ac:dyDescent="0.3">
      <c r="B63" s="100">
        <v>4</v>
      </c>
      <c r="C63" s="117" t="s">
        <v>156</v>
      </c>
      <c r="D63" s="101"/>
      <c r="E63" s="102">
        <v>45447</v>
      </c>
      <c r="F63" s="101" t="s">
        <v>157</v>
      </c>
      <c r="G63" s="101" t="s">
        <v>158</v>
      </c>
      <c r="H63" s="107">
        <v>0</v>
      </c>
      <c r="I63" s="118"/>
      <c r="J63" s="105">
        <v>18</v>
      </c>
      <c r="K63" s="105">
        <v>18</v>
      </c>
      <c r="L63" s="106">
        <f t="shared" si="3"/>
        <v>1</v>
      </c>
      <c r="M63" s="107">
        <v>0</v>
      </c>
      <c r="N63" s="108">
        <v>0</v>
      </c>
      <c r="O63" s="109">
        <v>0</v>
      </c>
      <c r="P63" s="109"/>
      <c r="Q63" s="109">
        <f t="shared" si="10"/>
        <v>0</v>
      </c>
      <c r="R63" s="108">
        <v>0</v>
      </c>
      <c r="S63" s="109">
        <v>0</v>
      </c>
      <c r="T63" s="109"/>
      <c r="U63" s="109">
        <f>+R63+S63</f>
        <v>0</v>
      </c>
      <c r="V63" s="110">
        <v>0</v>
      </c>
      <c r="W63" s="111">
        <v>0</v>
      </c>
      <c r="X63" s="111"/>
      <c r="Y63" s="109">
        <f t="shared" si="4"/>
        <v>0</v>
      </c>
      <c r="Z63" s="112" t="s">
        <v>159</v>
      </c>
      <c r="AA63" s="53"/>
      <c r="AB63" s="53"/>
    </row>
    <row r="64" spans="1:28" outlineLevel="1" x14ac:dyDescent="0.3">
      <c r="B64" s="100">
        <v>5</v>
      </c>
      <c r="C64" s="119"/>
      <c r="D64" s="119"/>
      <c r="E64" s="120">
        <v>45448</v>
      </c>
      <c r="F64" s="119" t="s">
        <v>160</v>
      </c>
      <c r="G64" s="119" t="s">
        <v>158</v>
      </c>
      <c r="H64" s="121">
        <v>0</v>
      </c>
      <c r="I64" s="122"/>
      <c r="J64" s="123">
        <v>24</v>
      </c>
      <c r="K64" s="123">
        <v>24</v>
      </c>
      <c r="L64" s="106">
        <f t="shared" si="3"/>
        <v>1</v>
      </c>
      <c r="M64" s="121">
        <v>0</v>
      </c>
      <c r="N64" s="108">
        <f>SUM(H64/K64)</f>
        <v>0</v>
      </c>
      <c r="O64" s="109">
        <f>SUM(H64*2.5/100)</f>
        <v>0</v>
      </c>
      <c r="P64" s="109"/>
      <c r="Q64" s="109">
        <f t="shared" si="10"/>
        <v>0</v>
      </c>
      <c r="R64" s="110">
        <v>0</v>
      </c>
      <c r="S64" s="111">
        <v>0</v>
      </c>
      <c r="T64" s="111"/>
      <c r="U64" s="109">
        <f>+R64+S64</f>
        <v>0</v>
      </c>
      <c r="V64" s="110">
        <v>0</v>
      </c>
      <c r="W64" s="111">
        <v>0</v>
      </c>
      <c r="X64" s="111"/>
      <c r="Y64" s="109">
        <f t="shared" si="4"/>
        <v>0</v>
      </c>
      <c r="Z64" s="112" t="s">
        <v>161</v>
      </c>
    </row>
    <row r="65" spans="1:28" s="124" customFormat="1" outlineLevel="1" x14ac:dyDescent="0.3">
      <c r="A65"/>
      <c r="B65" s="100">
        <v>6</v>
      </c>
      <c r="C65" s="119"/>
      <c r="D65" s="119"/>
      <c r="E65" s="120">
        <v>45470</v>
      </c>
      <c r="F65" s="119" t="s">
        <v>162</v>
      </c>
      <c r="G65" s="119" t="s">
        <v>163</v>
      </c>
      <c r="H65" s="121">
        <v>0</v>
      </c>
      <c r="I65" s="122"/>
      <c r="J65" s="123">
        <v>24</v>
      </c>
      <c r="K65" s="123">
        <v>24</v>
      </c>
      <c r="L65" s="106">
        <f t="shared" si="3"/>
        <v>1</v>
      </c>
      <c r="M65" s="121">
        <v>0</v>
      </c>
      <c r="N65" s="108">
        <v>0</v>
      </c>
      <c r="O65" s="109">
        <v>0</v>
      </c>
      <c r="P65" s="109"/>
      <c r="Q65" s="109">
        <f t="shared" si="10"/>
        <v>0</v>
      </c>
      <c r="R65" s="110">
        <v>0</v>
      </c>
      <c r="S65" s="111">
        <v>0</v>
      </c>
      <c r="T65" s="111"/>
      <c r="U65" s="109">
        <f>+R65+S65</f>
        <v>0</v>
      </c>
      <c r="V65" s="110">
        <v>0</v>
      </c>
      <c r="W65" s="111">
        <v>0</v>
      </c>
      <c r="X65" s="111"/>
      <c r="Y65" s="109">
        <f t="shared" si="4"/>
        <v>0</v>
      </c>
      <c r="Z65" s="112" t="s">
        <v>164</v>
      </c>
      <c r="AA65" s="125"/>
      <c r="AB65" s="125"/>
    </row>
    <row r="66" spans="1:28" outlineLevel="1" x14ac:dyDescent="0.3">
      <c r="B66" s="100">
        <v>7</v>
      </c>
      <c r="C66" s="119"/>
      <c r="D66" s="119"/>
      <c r="E66" s="120">
        <v>45448</v>
      </c>
      <c r="F66" s="119" t="s">
        <v>146</v>
      </c>
      <c r="G66" s="119" t="s">
        <v>33</v>
      </c>
      <c r="H66" s="121">
        <v>0</v>
      </c>
      <c r="I66" s="122"/>
      <c r="J66" s="126">
        <v>24</v>
      </c>
      <c r="K66" s="123">
        <v>24</v>
      </c>
      <c r="L66" s="106">
        <f t="shared" si="3"/>
        <v>1</v>
      </c>
      <c r="M66" s="121">
        <v>0</v>
      </c>
      <c r="N66" s="108">
        <v>0</v>
      </c>
      <c r="O66" s="109">
        <v>0</v>
      </c>
      <c r="P66" s="109"/>
      <c r="Q66" s="109">
        <f t="shared" si="10"/>
        <v>0</v>
      </c>
      <c r="R66" s="108">
        <v>0</v>
      </c>
      <c r="S66" s="108">
        <v>0</v>
      </c>
      <c r="T66" s="108"/>
      <c r="U66" s="109">
        <f>+R66+S66</f>
        <v>0</v>
      </c>
      <c r="V66" s="110">
        <v>0</v>
      </c>
      <c r="W66" s="111">
        <v>0</v>
      </c>
      <c r="X66" s="111"/>
      <c r="Y66" s="109">
        <f t="shared" si="4"/>
        <v>0</v>
      </c>
      <c r="Z66" s="112" t="s">
        <v>165</v>
      </c>
    </row>
    <row r="67" spans="1:28" outlineLevel="1" x14ac:dyDescent="0.3">
      <c r="B67" s="100">
        <v>8</v>
      </c>
      <c r="C67" s="119"/>
      <c r="D67" s="119"/>
      <c r="E67" s="120">
        <v>45445</v>
      </c>
      <c r="F67" s="119" t="s">
        <v>166</v>
      </c>
      <c r="G67" s="119" t="s">
        <v>38</v>
      </c>
      <c r="H67" s="121">
        <v>0</v>
      </c>
      <c r="I67" s="122"/>
      <c r="J67" s="126">
        <v>24</v>
      </c>
      <c r="K67" s="123">
        <v>24</v>
      </c>
      <c r="L67" s="106">
        <f t="shared" si="3"/>
        <v>1</v>
      </c>
      <c r="M67" s="121">
        <v>0</v>
      </c>
      <c r="N67" s="108">
        <f>SUM(H67/K67)</f>
        <v>0</v>
      </c>
      <c r="O67" s="109">
        <f>SUM(H67*2.5/100)</f>
        <v>0</v>
      </c>
      <c r="P67" s="109"/>
      <c r="Q67" s="109">
        <f t="shared" si="10"/>
        <v>0</v>
      </c>
      <c r="R67" s="108">
        <v>0</v>
      </c>
      <c r="S67" s="108">
        <v>0</v>
      </c>
      <c r="T67" s="108"/>
      <c r="U67" s="109">
        <f t="shared" ref="U67:U94" si="11">+R67+S67</f>
        <v>0</v>
      </c>
      <c r="V67" s="110">
        <v>0</v>
      </c>
      <c r="W67" s="111">
        <v>0</v>
      </c>
      <c r="X67" s="111"/>
      <c r="Y67" s="109">
        <f t="shared" si="4"/>
        <v>0</v>
      </c>
      <c r="Z67" s="112" t="s">
        <v>165</v>
      </c>
    </row>
    <row r="68" spans="1:28" outlineLevel="1" x14ac:dyDescent="0.3">
      <c r="B68" s="100">
        <v>9</v>
      </c>
      <c r="C68" s="119"/>
      <c r="D68" s="119"/>
      <c r="E68" s="127">
        <v>45505</v>
      </c>
      <c r="F68" s="119" t="s">
        <v>167</v>
      </c>
      <c r="G68" s="119" t="s">
        <v>100</v>
      </c>
      <c r="H68" s="121">
        <v>0</v>
      </c>
      <c r="I68" s="122"/>
      <c r="J68" s="126">
        <v>24</v>
      </c>
      <c r="K68" s="128">
        <v>24</v>
      </c>
      <c r="L68" s="106">
        <f t="shared" si="3"/>
        <v>1</v>
      </c>
      <c r="M68" s="121">
        <v>0</v>
      </c>
      <c r="N68" s="108">
        <f>SUM(H68/K68)</f>
        <v>0</v>
      </c>
      <c r="O68" s="109">
        <f>SUM(H68*2.5/100)</f>
        <v>0</v>
      </c>
      <c r="P68" s="109"/>
      <c r="Q68" s="109">
        <f t="shared" si="10"/>
        <v>0</v>
      </c>
      <c r="R68" s="108">
        <v>0</v>
      </c>
      <c r="S68" s="108">
        <v>0</v>
      </c>
      <c r="T68" s="108"/>
      <c r="U68" s="109">
        <f t="shared" si="11"/>
        <v>0</v>
      </c>
      <c r="V68" s="110">
        <v>0</v>
      </c>
      <c r="W68" s="111">
        <v>0</v>
      </c>
      <c r="X68" s="111"/>
      <c r="Y68" s="109">
        <f t="shared" si="4"/>
        <v>0</v>
      </c>
      <c r="Z68" s="112" t="s">
        <v>168</v>
      </c>
    </row>
    <row r="69" spans="1:28" outlineLevel="1" x14ac:dyDescent="0.3">
      <c r="B69" s="100">
        <v>10</v>
      </c>
      <c r="C69" s="129" t="s">
        <v>169</v>
      </c>
      <c r="D69" s="119"/>
      <c r="E69" s="130">
        <v>45530</v>
      </c>
      <c r="F69" s="119" t="s">
        <v>170</v>
      </c>
      <c r="G69" s="119" t="s">
        <v>171</v>
      </c>
      <c r="H69" s="121">
        <v>0</v>
      </c>
      <c r="I69" s="122"/>
      <c r="J69" s="126">
        <v>24</v>
      </c>
      <c r="K69" s="128">
        <v>24</v>
      </c>
      <c r="L69" s="106">
        <f t="shared" si="3"/>
        <v>1</v>
      </c>
      <c r="M69" s="121">
        <v>0</v>
      </c>
      <c r="N69" s="108">
        <f>SUM(H69/K69)</f>
        <v>0</v>
      </c>
      <c r="O69" s="109">
        <f>SUM(H69*2.5/100)</f>
        <v>0</v>
      </c>
      <c r="P69" s="109"/>
      <c r="Q69" s="109">
        <f t="shared" si="10"/>
        <v>0</v>
      </c>
      <c r="R69" s="108">
        <v>0</v>
      </c>
      <c r="S69" s="108">
        <v>0</v>
      </c>
      <c r="T69" s="108"/>
      <c r="U69" s="109">
        <f t="shared" si="11"/>
        <v>0</v>
      </c>
      <c r="V69" s="110">
        <v>0</v>
      </c>
      <c r="W69" s="111">
        <v>0</v>
      </c>
      <c r="X69" s="111"/>
      <c r="Y69" s="109">
        <f t="shared" si="4"/>
        <v>0</v>
      </c>
      <c r="Z69" s="112" t="s">
        <v>168</v>
      </c>
    </row>
    <row r="70" spans="1:28" outlineLevel="1" x14ac:dyDescent="0.3">
      <c r="B70" s="100">
        <v>11</v>
      </c>
      <c r="C70" s="131"/>
      <c r="D70" s="131"/>
      <c r="E70" s="132">
        <v>45419</v>
      </c>
      <c r="F70" s="119" t="s">
        <v>172</v>
      </c>
      <c r="G70" s="119" t="s">
        <v>38</v>
      </c>
      <c r="H70" s="121">
        <v>0</v>
      </c>
      <c r="I70" s="122"/>
      <c r="J70" s="126">
        <v>24</v>
      </c>
      <c r="K70" s="105">
        <v>24</v>
      </c>
      <c r="L70" s="106">
        <f t="shared" si="3"/>
        <v>1</v>
      </c>
      <c r="M70" s="121">
        <v>0</v>
      </c>
      <c r="N70" s="108">
        <v>0</v>
      </c>
      <c r="O70" s="109">
        <v>0</v>
      </c>
      <c r="P70" s="109"/>
      <c r="Q70" s="109">
        <f t="shared" si="10"/>
        <v>0</v>
      </c>
      <c r="R70" s="108">
        <v>0</v>
      </c>
      <c r="S70" s="108">
        <v>0</v>
      </c>
      <c r="T70" s="108"/>
      <c r="U70" s="109">
        <f t="shared" si="11"/>
        <v>0</v>
      </c>
      <c r="V70" s="110">
        <v>0</v>
      </c>
      <c r="W70" s="111">
        <v>0</v>
      </c>
      <c r="X70" s="111"/>
      <c r="Y70" s="109">
        <f t="shared" si="4"/>
        <v>0</v>
      </c>
      <c r="Z70" s="133" t="s">
        <v>173</v>
      </c>
    </row>
    <row r="71" spans="1:28" outlineLevel="1" x14ac:dyDescent="0.3">
      <c r="B71" s="100">
        <v>12</v>
      </c>
      <c r="C71" s="119"/>
      <c r="D71" s="119"/>
      <c r="E71" s="120">
        <v>45449</v>
      </c>
      <c r="F71" s="119" t="s">
        <v>174</v>
      </c>
      <c r="G71" s="119" t="s">
        <v>84</v>
      </c>
      <c r="H71" s="121">
        <v>0</v>
      </c>
      <c r="I71" s="122"/>
      <c r="J71" s="126">
        <v>24</v>
      </c>
      <c r="K71" s="123">
        <v>24</v>
      </c>
      <c r="L71" s="106">
        <f t="shared" si="3"/>
        <v>1</v>
      </c>
      <c r="M71" s="121">
        <v>0</v>
      </c>
      <c r="N71" s="108">
        <v>0</v>
      </c>
      <c r="O71" s="109">
        <v>0</v>
      </c>
      <c r="P71" s="109"/>
      <c r="Q71" s="109">
        <f t="shared" si="10"/>
        <v>0</v>
      </c>
      <c r="R71" s="108">
        <v>0</v>
      </c>
      <c r="S71" s="108">
        <v>0</v>
      </c>
      <c r="T71" s="108"/>
      <c r="U71" s="109">
        <f t="shared" si="11"/>
        <v>0</v>
      </c>
      <c r="V71" s="110">
        <v>0</v>
      </c>
      <c r="W71" s="111">
        <v>0</v>
      </c>
      <c r="X71" s="111"/>
      <c r="Y71" s="109">
        <f t="shared" si="4"/>
        <v>0</v>
      </c>
      <c r="Z71" s="112" t="s">
        <v>175</v>
      </c>
    </row>
    <row r="72" spans="1:28" outlineLevel="1" x14ac:dyDescent="0.3">
      <c r="B72" s="100">
        <v>13</v>
      </c>
      <c r="C72" s="119"/>
      <c r="D72" s="119"/>
      <c r="E72" s="120">
        <v>45490</v>
      </c>
      <c r="F72" s="119" t="s">
        <v>176</v>
      </c>
      <c r="G72" s="119" t="s">
        <v>177</v>
      </c>
      <c r="H72" s="121">
        <v>0</v>
      </c>
      <c r="I72" s="122"/>
      <c r="J72" s="126">
        <v>24</v>
      </c>
      <c r="K72" s="123">
        <v>24</v>
      </c>
      <c r="L72" s="106">
        <f t="shared" si="3"/>
        <v>1</v>
      </c>
      <c r="M72" s="121">
        <v>0</v>
      </c>
      <c r="N72" s="108">
        <v>0</v>
      </c>
      <c r="O72" s="109">
        <v>0</v>
      </c>
      <c r="P72" s="109"/>
      <c r="Q72" s="109">
        <f t="shared" si="10"/>
        <v>0</v>
      </c>
      <c r="R72" s="108">
        <v>0</v>
      </c>
      <c r="S72" s="108">
        <v>0</v>
      </c>
      <c r="T72" s="108"/>
      <c r="U72" s="109">
        <f t="shared" si="11"/>
        <v>0</v>
      </c>
      <c r="V72" s="110">
        <v>0</v>
      </c>
      <c r="W72" s="111">
        <v>0</v>
      </c>
      <c r="X72" s="111"/>
      <c r="Y72" s="109">
        <f t="shared" si="4"/>
        <v>0</v>
      </c>
      <c r="Z72" s="134" t="s">
        <v>178</v>
      </c>
    </row>
    <row r="73" spans="1:28" outlineLevel="1" x14ac:dyDescent="0.3">
      <c r="B73" s="100">
        <v>14</v>
      </c>
      <c r="C73" s="119"/>
      <c r="D73" s="119"/>
      <c r="E73" s="127">
        <v>45511</v>
      </c>
      <c r="F73" s="119" t="s">
        <v>179</v>
      </c>
      <c r="G73" s="119" t="s">
        <v>48</v>
      </c>
      <c r="H73" s="121">
        <v>0</v>
      </c>
      <c r="I73" s="122"/>
      <c r="J73" s="126">
        <v>24</v>
      </c>
      <c r="K73" s="128">
        <v>24</v>
      </c>
      <c r="L73" s="106">
        <f t="shared" si="3"/>
        <v>1</v>
      </c>
      <c r="M73" s="121">
        <v>0</v>
      </c>
      <c r="N73" s="108">
        <v>0</v>
      </c>
      <c r="O73" s="109">
        <v>0</v>
      </c>
      <c r="P73" s="109"/>
      <c r="Q73" s="109">
        <f t="shared" si="10"/>
        <v>0</v>
      </c>
      <c r="R73" s="108">
        <v>0</v>
      </c>
      <c r="S73" s="108">
        <v>0</v>
      </c>
      <c r="T73" s="108"/>
      <c r="U73" s="109">
        <f t="shared" si="11"/>
        <v>0</v>
      </c>
      <c r="V73" s="110">
        <v>0</v>
      </c>
      <c r="W73" s="111">
        <v>0</v>
      </c>
      <c r="X73" s="111"/>
      <c r="Y73" s="109">
        <f t="shared" si="4"/>
        <v>0</v>
      </c>
      <c r="Z73" s="134" t="s">
        <v>180</v>
      </c>
    </row>
    <row r="74" spans="1:28" s="135" customFormat="1" ht="11.4" outlineLevel="1" x14ac:dyDescent="0.2">
      <c r="B74" s="100">
        <v>15</v>
      </c>
      <c r="C74" s="119"/>
      <c r="D74" s="119"/>
      <c r="E74" s="113">
        <v>45566</v>
      </c>
      <c r="F74" s="101" t="s">
        <v>181</v>
      </c>
      <c r="G74" s="136" t="s">
        <v>33</v>
      </c>
      <c r="H74" s="107">
        <v>0</v>
      </c>
      <c r="I74" s="118"/>
      <c r="J74" s="126">
        <v>24</v>
      </c>
      <c r="K74" s="137">
        <v>24</v>
      </c>
      <c r="L74" s="106">
        <f t="shared" si="3"/>
        <v>1</v>
      </c>
      <c r="M74" s="121">
        <v>0</v>
      </c>
      <c r="N74" s="108">
        <v>0</v>
      </c>
      <c r="O74" s="109">
        <v>0</v>
      </c>
      <c r="P74" s="109"/>
      <c r="Q74" s="109">
        <f t="shared" si="10"/>
        <v>0</v>
      </c>
      <c r="R74" s="108">
        <v>0</v>
      </c>
      <c r="S74" s="108">
        <v>0</v>
      </c>
      <c r="T74" s="108"/>
      <c r="U74" s="109">
        <f t="shared" si="11"/>
        <v>0</v>
      </c>
      <c r="V74" s="110">
        <v>0</v>
      </c>
      <c r="W74" s="111">
        <v>0</v>
      </c>
      <c r="X74" s="111"/>
      <c r="Y74" s="109">
        <f t="shared" si="4"/>
        <v>0</v>
      </c>
      <c r="Z74" s="134" t="s">
        <v>173</v>
      </c>
      <c r="AA74" s="138"/>
      <c r="AB74" s="138"/>
    </row>
    <row r="75" spans="1:28" outlineLevel="1" x14ac:dyDescent="0.3">
      <c r="B75" s="100">
        <v>16</v>
      </c>
      <c r="C75" s="119"/>
      <c r="D75" s="119"/>
      <c r="E75" s="120">
        <v>45496</v>
      </c>
      <c r="F75" s="119" t="s">
        <v>182</v>
      </c>
      <c r="G75" s="119" t="s">
        <v>100</v>
      </c>
      <c r="H75" s="107">
        <v>0</v>
      </c>
      <c r="I75" s="122"/>
      <c r="J75" s="126">
        <v>12</v>
      </c>
      <c r="K75" s="123">
        <v>12</v>
      </c>
      <c r="L75" s="106">
        <f t="shared" si="3"/>
        <v>1</v>
      </c>
      <c r="M75" s="121">
        <v>0</v>
      </c>
      <c r="N75" s="108">
        <v>0</v>
      </c>
      <c r="O75" s="109">
        <v>0</v>
      </c>
      <c r="P75" s="109"/>
      <c r="Q75" s="109">
        <f t="shared" si="10"/>
        <v>0</v>
      </c>
      <c r="R75" s="108">
        <v>0</v>
      </c>
      <c r="S75" s="108">
        <v>0</v>
      </c>
      <c r="T75" s="108"/>
      <c r="U75" s="109">
        <f t="shared" si="11"/>
        <v>0</v>
      </c>
      <c r="V75" s="110">
        <v>0</v>
      </c>
      <c r="W75" s="111">
        <v>0</v>
      </c>
      <c r="X75" s="111"/>
      <c r="Y75" s="109">
        <f t="shared" si="4"/>
        <v>0</v>
      </c>
      <c r="Z75" s="139" t="s">
        <v>183</v>
      </c>
    </row>
    <row r="76" spans="1:28" s="55" customFormat="1" outlineLevel="1" x14ac:dyDescent="0.3">
      <c r="B76" s="100">
        <v>17</v>
      </c>
      <c r="C76" s="101"/>
      <c r="D76" s="101"/>
      <c r="E76" s="102">
        <v>45474</v>
      </c>
      <c r="F76" s="101" t="s">
        <v>184</v>
      </c>
      <c r="G76" s="101" t="s">
        <v>185</v>
      </c>
      <c r="H76" s="107">
        <v>0</v>
      </c>
      <c r="I76" s="118"/>
      <c r="J76" s="140">
        <v>24</v>
      </c>
      <c r="K76" s="105">
        <v>24</v>
      </c>
      <c r="L76" s="106">
        <f t="shared" si="3"/>
        <v>1</v>
      </c>
      <c r="M76" s="121">
        <v>0</v>
      </c>
      <c r="N76" s="108">
        <f t="shared" ref="N76:N93" si="12">SUM(H76/K76)</f>
        <v>0</v>
      </c>
      <c r="O76" s="109">
        <f t="shared" ref="O76:O93" si="13">SUM(H76*2.5/100)</f>
        <v>0</v>
      </c>
      <c r="P76" s="109"/>
      <c r="Q76" s="109">
        <f t="shared" si="10"/>
        <v>0</v>
      </c>
      <c r="R76" s="108">
        <v>0</v>
      </c>
      <c r="S76" s="108">
        <v>0</v>
      </c>
      <c r="T76" s="108"/>
      <c r="U76" s="109">
        <f t="shared" si="11"/>
        <v>0</v>
      </c>
      <c r="V76" s="110">
        <v>0</v>
      </c>
      <c r="W76" s="111">
        <v>0</v>
      </c>
      <c r="X76" s="111"/>
      <c r="Y76" s="109">
        <f t="shared" si="4"/>
        <v>0</v>
      </c>
      <c r="Z76" s="141" t="s">
        <v>186</v>
      </c>
      <c r="AA76" s="53"/>
      <c r="AB76" s="53"/>
    </row>
    <row r="77" spans="1:28" s="55" customFormat="1" outlineLevel="1" x14ac:dyDescent="0.3">
      <c r="B77" s="100">
        <v>18</v>
      </c>
      <c r="C77" s="101"/>
      <c r="D77" s="101"/>
      <c r="E77" s="102">
        <v>45475</v>
      </c>
      <c r="F77" s="101" t="s">
        <v>187</v>
      </c>
      <c r="G77" s="101" t="s">
        <v>33</v>
      </c>
      <c r="H77" s="107">
        <v>0</v>
      </c>
      <c r="I77" s="118"/>
      <c r="J77" s="140">
        <v>24</v>
      </c>
      <c r="K77" s="105">
        <v>24</v>
      </c>
      <c r="L77" s="106">
        <f t="shared" si="3"/>
        <v>1</v>
      </c>
      <c r="M77" s="121">
        <v>0</v>
      </c>
      <c r="N77" s="108">
        <f t="shared" si="12"/>
        <v>0</v>
      </c>
      <c r="O77" s="109">
        <f t="shared" si="13"/>
        <v>0</v>
      </c>
      <c r="P77" s="109"/>
      <c r="Q77" s="109">
        <f t="shared" si="10"/>
        <v>0</v>
      </c>
      <c r="R77" s="108">
        <v>0</v>
      </c>
      <c r="S77" s="108">
        <v>0</v>
      </c>
      <c r="T77" s="108"/>
      <c r="U77" s="109">
        <f t="shared" si="11"/>
        <v>0</v>
      </c>
      <c r="V77" s="110">
        <v>0</v>
      </c>
      <c r="W77" s="111">
        <v>0</v>
      </c>
      <c r="X77" s="111"/>
      <c r="Y77" s="109">
        <f t="shared" si="4"/>
        <v>0</v>
      </c>
      <c r="Z77" s="141" t="s">
        <v>188</v>
      </c>
      <c r="AA77" s="53"/>
      <c r="AB77" s="53"/>
    </row>
    <row r="78" spans="1:28" s="55" customFormat="1" outlineLevel="1" x14ac:dyDescent="0.3">
      <c r="B78" s="100">
        <v>19</v>
      </c>
      <c r="C78" s="101"/>
      <c r="D78" s="101"/>
      <c r="E78" s="142">
        <v>45506</v>
      </c>
      <c r="F78" s="101" t="s">
        <v>189</v>
      </c>
      <c r="G78" s="101" t="s">
        <v>185</v>
      </c>
      <c r="H78" s="107">
        <v>0</v>
      </c>
      <c r="I78" s="118"/>
      <c r="J78" s="140">
        <v>24</v>
      </c>
      <c r="K78" s="143">
        <v>24</v>
      </c>
      <c r="L78" s="106">
        <f t="shared" si="3"/>
        <v>1</v>
      </c>
      <c r="M78" s="121">
        <v>0</v>
      </c>
      <c r="N78" s="108">
        <f t="shared" si="12"/>
        <v>0</v>
      </c>
      <c r="O78" s="109">
        <f t="shared" si="13"/>
        <v>0</v>
      </c>
      <c r="P78" s="109"/>
      <c r="Q78" s="109">
        <f t="shared" si="10"/>
        <v>0</v>
      </c>
      <c r="R78" s="108">
        <v>0</v>
      </c>
      <c r="S78" s="108">
        <v>0</v>
      </c>
      <c r="T78" s="108"/>
      <c r="U78" s="109">
        <f t="shared" si="11"/>
        <v>0</v>
      </c>
      <c r="V78" s="110">
        <v>0</v>
      </c>
      <c r="W78" s="111">
        <v>0</v>
      </c>
      <c r="X78" s="111"/>
      <c r="Y78" s="109">
        <f t="shared" si="4"/>
        <v>0</v>
      </c>
      <c r="Z78" s="141" t="s">
        <v>186</v>
      </c>
      <c r="AA78" s="53"/>
      <c r="AB78" s="53"/>
    </row>
    <row r="79" spans="1:28" s="55" customFormat="1" outlineLevel="1" x14ac:dyDescent="0.3">
      <c r="B79" s="100">
        <v>20</v>
      </c>
      <c r="C79" s="101"/>
      <c r="D79" s="101"/>
      <c r="E79" s="142">
        <v>45512</v>
      </c>
      <c r="F79" s="101" t="s">
        <v>190</v>
      </c>
      <c r="G79" s="101" t="s">
        <v>191</v>
      </c>
      <c r="H79" s="107">
        <v>0</v>
      </c>
      <c r="I79" s="118"/>
      <c r="J79" s="140">
        <v>24</v>
      </c>
      <c r="K79" s="143">
        <v>24</v>
      </c>
      <c r="L79" s="106">
        <f t="shared" si="3"/>
        <v>1</v>
      </c>
      <c r="M79" s="121">
        <v>0</v>
      </c>
      <c r="N79" s="108">
        <f t="shared" si="12"/>
        <v>0</v>
      </c>
      <c r="O79" s="109">
        <f t="shared" si="13"/>
        <v>0</v>
      </c>
      <c r="P79" s="109"/>
      <c r="Q79" s="109">
        <f t="shared" si="10"/>
        <v>0</v>
      </c>
      <c r="R79" s="108">
        <v>0</v>
      </c>
      <c r="S79" s="108">
        <v>0</v>
      </c>
      <c r="T79" s="108"/>
      <c r="U79" s="109">
        <f t="shared" si="11"/>
        <v>0</v>
      </c>
      <c r="V79" s="110">
        <v>0</v>
      </c>
      <c r="W79" s="111">
        <v>0</v>
      </c>
      <c r="X79" s="111"/>
      <c r="Y79" s="109">
        <f t="shared" si="4"/>
        <v>0</v>
      </c>
      <c r="Z79" s="141" t="s">
        <v>192</v>
      </c>
      <c r="AA79" s="53"/>
      <c r="AB79" s="53"/>
    </row>
    <row r="80" spans="1:28" s="55" customFormat="1" outlineLevel="1" x14ac:dyDescent="0.3">
      <c r="B80" s="100">
        <v>21</v>
      </c>
      <c r="C80" s="101"/>
      <c r="D80" s="101"/>
      <c r="E80" s="113">
        <v>45540</v>
      </c>
      <c r="F80" s="101" t="s">
        <v>193</v>
      </c>
      <c r="G80" s="101" t="s">
        <v>33</v>
      </c>
      <c r="H80" s="107">
        <v>0</v>
      </c>
      <c r="I80" s="118"/>
      <c r="J80" s="140">
        <v>24</v>
      </c>
      <c r="K80" s="144">
        <v>24</v>
      </c>
      <c r="L80" s="106">
        <f t="shared" si="3"/>
        <v>1</v>
      </c>
      <c r="M80" s="121">
        <v>0</v>
      </c>
      <c r="N80" s="108">
        <f t="shared" si="12"/>
        <v>0</v>
      </c>
      <c r="O80" s="109">
        <f t="shared" si="13"/>
        <v>0</v>
      </c>
      <c r="P80" s="109"/>
      <c r="Q80" s="109">
        <f t="shared" si="10"/>
        <v>0</v>
      </c>
      <c r="R80" s="108">
        <v>0</v>
      </c>
      <c r="S80" s="108">
        <v>0</v>
      </c>
      <c r="T80" s="108"/>
      <c r="U80" s="109">
        <f t="shared" si="11"/>
        <v>0</v>
      </c>
      <c r="V80" s="110">
        <v>0</v>
      </c>
      <c r="W80" s="111">
        <v>0</v>
      </c>
      <c r="X80" s="111"/>
      <c r="Y80" s="109">
        <f t="shared" si="4"/>
        <v>0</v>
      </c>
      <c r="Z80" s="141" t="s">
        <v>194</v>
      </c>
      <c r="AA80" s="53"/>
      <c r="AB80" s="53"/>
    </row>
    <row r="81" spans="1:28" s="13" customFormat="1" ht="11.4" outlineLevel="1" x14ac:dyDescent="0.2">
      <c r="B81" s="100">
        <v>22</v>
      </c>
      <c r="C81" s="101"/>
      <c r="D81" s="101"/>
      <c r="E81" s="113">
        <v>45555</v>
      </c>
      <c r="F81" s="101" t="s">
        <v>195</v>
      </c>
      <c r="G81" s="101" t="s">
        <v>38</v>
      </c>
      <c r="H81" s="107">
        <v>0</v>
      </c>
      <c r="I81" s="118"/>
      <c r="J81" s="140">
        <v>24</v>
      </c>
      <c r="K81" s="144">
        <v>24</v>
      </c>
      <c r="L81" s="106">
        <f t="shared" si="3"/>
        <v>1</v>
      </c>
      <c r="M81" s="121">
        <v>0</v>
      </c>
      <c r="N81" s="108">
        <f t="shared" si="12"/>
        <v>0</v>
      </c>
      <c r="O81" s="109">
        <f t="shared" si="13"/>
        <v>0</v>
      </c>
      <c r="P81" s="109"/>
      <c r="Q81" s="109">
        <f t="shared" si="10"/>
        <v>0</v>
      </c>
      <c r="R81" s="108">
        <v>0</v>
      </c>
      <c r="S81" s="108">
        <v>0</v>
      </c>
      <c r="T81" s="108"/>
      <c r="U81" s="109">
        <f t="shared" si="11"/>
        <v>0</v>
      </c>
      <c r="V81" s="110">
        <v>0</v>
      </c>
      <c r="W81" s="111">
        <v>0</v>
      </c>
      <c r="X81" s="111"/>
      <c r="Y81" s="109">
        <f t="shared" ref="Y81:Y111" si="14">+V81+W81</f>
        <v>0</v>
      </c>
      <c r="Z81" s="141" t="s">
        <v>196</v>
      </c>
      <c r="AA81" s="75"/>
      <c r="AB81" s="75"/>
    </row>
    <row r="82" spans="1:28" s="55" customFormat="1" outlineLevel="1" x14ac:dyDescent="0.3">
      <c r="B82" s="100">
        <v>23</v>
      </c>
      <c r="C82" s="101"/>
      <c r="D82" s="101"/>
      <c r="E82" s="113">
        <v>45566</v>
      </c>
      <c r="F82" s="101" t="s">
        <v>197</v>
      </c>
      <c r="G82" s="145" t="s">
        <v>33</v>
      </c>
      <c r="H82" s="107">
        <v>0</v>
      </c>
      <c r="I82" s="118"/>
      <c r="J82" s="140">
        <v>24</v>
      </c>
      <c r="K82" s="144">
        <v>24</v>
      </c>
      <c r="L82" s="106">
        <f t="shared" si="3"/>
        <v>1</v>
      </c>
      <c r="M82" s="121">
        <v>0</v>
      </c>
      <c r="N82" s="108">
        <f t="shared" si="12"/>
        <v>0</v>
      </c>
      <c r="O82" s="109">
        <f t="shared" si="13"/>
        <v>0</v>
      </c>
      <c r="P82" s="109"/>
      <c r="Q82" s="109">
        <f t="shared" si="10"/>
        <v>0</v>
      </c>
      <c r="R82" s="108">
        <v>0</v>
      </c>
      <c r="S82" s="108">
        <v>0</v>
      </c>
      <c r="T82" s="108"/>
      <c r="U82" s="109">
        <f t="shared" si="11"/>
        <v>0</v>
      </c>
      <c r="V82" s="110">
        <v>0</v>
      </c>
      <c r="W82" s="111">
        <v>0</v>
      </c>
      <c r="X82" s="111"/>
      <c r="Y82" s="109">
        <f t="shared" si="14"/>
        <v>0</v>
      </c>
      <c r="Z82" s="141" t="s">
        <v>188</v>
      </c>
      <c r="AA82" s="53"/>
      <c r="AB82" s="53"/>
    </row>
    <row r="83" spans="1:28" s="55" customFormat="1" outlineLevel="1" x14ac:dyDescent="0.3">
      <c r="B83" s="100">
        <v>24</v>
      </c>
      <c r="C83" s="101"/>
      <c r="D83" s="101"/>
      <c r="E83" s="113">
        <v>45600</v>
      </c>
      <c r="F83" s="101" t="s">
        <v>198</v>
      </c>
      <c r="G83" s="145" t="s">
        <v>33</v>
      </c>
      <c r="H83" s="107">
        <v>0</v>
      </c>
      <c r="I83" s="118"/>
      <c r="J83" s="144">
        <v>24</v>
      </c>
      <c r="K83" s="144">
        <v>24</v>
      </c>
      <c r="L83" s="106">
        <f t="shared" si="3"/>
        <v>1</v>
      </c>
      <c r="M83" s="121">
        <v>0</v>
      </c>
      <c r="N83" s="108">
        <f t="shared" si="12"/>
        <v>0</v>
      </c>
      <c r="O83" s="109">
        <f t="shared" si="13"/>
        <v>0</v>
      </c>
      <c r="P83" s="109"/>
      <c r="Q83" s="109">
        <f t="shared" si="10"/>
        <v>0</v>
      </c>
      <c r="R83" s="146">
        <v>0</v>
      </c>
      <c r="S83" s="146">
        <v>0</v>
      </c>
      <c r="T83" s="108"/>
      <c r="U83" s="109">
        <f t="shared" si="11"/>
        <v>0</v>
      </c>
      <c r="V83" s="110">
        <v>0</v>
      </c>
      <c r="W83" s="111">
        <v>0</v>
      </c>
      <c r="X83" s="111"/>
      <c r="Y83" s="109">
        <f t="shared" si="14"/>
        <v>0</v>
      </c>
      <c r="Z83" s="141" t="s">
        <v>199</v>
      </c>
      <c r="AA83" s="53"/>
      <c r="AB83" s="53"/>
    </row>
    <row r="84" spans="1:28" s="55" customFormat="1" outlineLevel="1" x14ac:dyDescent="0.3">
      <c r="A84" s="55" t="s">
        <v>127</v>
      </c>
      <c r="B84" s="100">
        <v>25</v>
      </c>
      <c r="C84" s="101"/>
      <c r="D84" s="101"/>
      <c r="E84" s="142">
        <v>45505</v>
      </c>
      <c r="F84" s="101" t="s">
        <v>200</v>
      </c>
      <c r="G84" s="101" t="s">
        <v>33</v>
      </c>
      <c r="H84" s="107">
        <v>0</v>
      </c>
      <c r="I84" s="118"/>
      <c r="J84" s="143">
        <v>24</v>
      </c>
      <c r="K84" s="143">
        <v>24</v>
      </c>
      <c r="L84" s="106">
        <f t="shared" si="3"/>
        <v>1</v>
      </c>
      <c r="M84" s="121">
        <v>0</v>
      </c>
      <c r="N84" s="108">
        <f t="shared" si="12"/>
        <v>0</v>
      </c>
      <c r="O84" s="109">
        <f t="shared" si="13"/>
        <v>0</v>
      </c>
      <c r="P84" s="109"/>
      <c r="Q84" s="109">
        <f t="shared" si="10"/>
        <v>0</v>
      </c>
      <c r="R84" s="146">
        <v>0</v>
      </c>
      <c r="S84" s="146">
        <v>0</v>
      </c>
      <c r="T84" s="108"/>
      <c r="U84" s="109">
        <f t="shared" si="11"/>
        <v>0</v>
      </c>
      <c r="V84" s="110">
        <v>0</v>
      </c>
      <c r="W84" s="111">
        <v>0</v>
      </c>
      <c r="X84" s="111"/>
      <c r="Y84" s="109">
        <f t="shared" si="14"/>
        <v>0</v>
      </c>
      <c r="Z84" s="141" t="s">
        <v>201</v>
      </c>
      <c r="AA84" s="53"/>
      <c r="AB84" s="53"/>
    </row>
    <row r="85" spans="1:28" s="55" customFormat="1" outlineLevel="1" x14ac:dyDescent="0.3">
      <c r="B85" s="100">
        <v>26</v>
      </c>
      <c r="C85" s="101"/>
      <c r="D85" s="101"/>
      <c r="E85" s="102">
        <v>45448</v>
      </c>
      <c r="F85" s="101" t="s">
        <v>202</v>
      </c>
      <c r="G85" s="101" t="s">
        <v>38</v>
      </c>
      <c r="H85" s="107">
        <v>0</v>
      </c>
      <c r="I85" s="118"/>
      <c r="J85" s="105">
        <v>24</v>
      </c>
      <c r="K85" s="105">
        <v>24</v>
      </c>
      <c r="L85" s="106">
        <f t="shared" si="3"/>
        <v>1</v>
      </c>
      <c r="M85" s="121">
        <v>0</v>
      </c>
      <c r="N85" s="108">
        <f t="shared" si="12"/>
        <v>0</v>
      </c>
      <c r="O85" s="109">
        <f t="shared" si="13"/>
        <v>0</v>
      </c>
      <c r="P85" s="109"/>
      <c r="Q85" s="109">
        <f t="shared" si="10"/>
        <v>0</v>
      </c>
      <c r="R85" s="146">
        <v>0</v>
      </c>
      <c r="S85" s="146">
        <v>0</v>
      </c>
      <c r="T85" s="108"/>
      <c r="U85" s="109">
        <f t="shared" si="11"/>
        <v>0</v>
      </c>
      <c r="V85" s="110">
        <v>0</v>
      </c>
      <c r="W85" s="111">
        <v>0</v>
      </c>
      <c r="X85" s="111"/>
      <c r="Y85" s="109">
        <f t="shared" si="14"/>
        <v>0</v>
      </c>
      <c r="Z85" s="147" t="s">
        <v>203</v>
      </c>
      <c r="AA85" s="53"/>
      <c r="AB85" s="53"/>
    </row>
    <row r="86" spans="1:28" s="55" customFormat="1" outlineLevel="1" x14ac:dyDescent="0.3">
      <c r="B86" s="100">
        <v>27</v>
      </c>
      <c r="C86" s="101"/>
      <c r="D86" s="101"/>
      <c r="E86" s="102">
        <v>45488</v>
      </c>
      <c r="F86" s="101" t="s">
        <v>204</v>
      </c>
      <c r="G86" s="101" t="s">
        <v>84</v>
      </c>
      <c r="H86" s="107">
        <v>0</v>
      </c>
      <c r="I86" s="118"/>
      <c r="J86" s="105">
        <v>24</v>
      </c>
      <c r="K86" s="105">
        <v>24</v>
      </c>
      <c r="L86" s="106">
        <f t="shared" si="3"/>
        <v>1</v>
      </c>
      <c r="M86" s="121">
        <v>0</v>
      </c>
      <c r="N86" s="108">
        <f t="shared" si="12"/>
        <v>0</v>
      </c>
      <c r="O86" s="109">
        <f t="shared" si="13"/>
        <v>0</v>
      </c>
      <c r="P86" s="109"/>
      <c r="Q86" s="109">
        <f t="shared" si="10"/>
        <v>0</v>
      </c>
      <c r="R86" s="146">
        <v>0</v>
      </c>
      <c r="S86" s="146">
        <v>0</v>
      </c>
      <c r="T86" s="108"/>
      <c r="U86" s="109">
        <f t="shared" si="11"/>
        <v>0</v>
      </c>
      <c r="V86" s="110">
        <v>0</v>
      </c>
      <c r="W86" s="111">
        <v>0</v>
      </c>
      <c r="X86" s="111"/>
      <c r="Y86" s="109">
        <f t="shared" si="14"/>
        <v>0</v>
      </c>
      <c r="Z86" s="141" t="s">
        <v>203</v>
      </c>
      <c r="AA86" s="53"/>
      <c r="AB86" s="53"/>
    </row>
    <row r="87" spans="1:28" s="13" customFormat="1" ht="11.4" outlineLevel="1" x14ac:dyDescent="0.2">
      <c r="B87" s="100">
        <v>28</v>
      </c>
      <c r="C87" s="101"/>
      <c r="D87" s="101"/>
      <c r="E87" s="113">
        <v>45547</v>
      </c>
      <c r="F87" s="101" t="s">
        <v>205</v>
      </c>
      <c r="G87" s="101" t="s">
        <v>84</v>
      </c>
      <c r="H87" s="107">
        <v>0</v>
      </c>
      <c r="I87" s="118"/>
      <c r="J87" s="144">
        <v>24</v>
      </c>
      <c r="K87" s="144">
        <v>24</v>
      </c>
      <c r="L87" s="106">
        <f t="shared" si="3"/>
        <v>1</v>
      </c>
      <c r="M87" s="121">
        <v>0</v>
      </c>
      <c r="N87" s="108">
        <f t="shared" si="12"/>
        <v>0</v>
      </c>
      <c r="O87" s="109">
        <f t="shared" si="13"/>
        <v>0</v>
      </c>
      <c r="P87" s="109"/>
      <c r="Q87" s="109">
        <f t="shared" si="10"/>
        <v>0</v>
      </c>
      <c r="R87" s="146">
        <v>0</v>
      </c>
      <c r="S87" s="146">
        <v>0</v>
      </c>
      <c r="T87" s="108"/>
      <c r="U87" s="109">
        <f t="shared" si="11"/>
        <v>0</v>
      </c>
      <c r="V87" s="110">
        <v>0</v>
      </c>
      <c r="W87" s="111">
        <v>0</v>
      </c>
      <c r="X87" s="111"/>
      <c r="Y87" s="109">
        <f t="shared" si="14"/>
        <v>0</v>
      </c>
      <c r="Z87" s="141" t="s">
        <v>206</v>
      </c>
      <c r="AA87" s="75"/>
      <c r="AB87" s="75"/>
    </row>
    <row r="88" spans="1:28" s="55" customFormat="1" outlineLevel="1" x14ac:dyDescent="0.3">
      <c r="B88" s="100">
        <v>29</v>
      </c>
      <c r="C88" s="101"/>
      <c r="D88" s="101"/>
      <c r="E88" s="102">
        <v>45447</v>
      </c>
      <c r="F88" s="101" t="s">
        <v>149</v>
      </c>
      <c r="G88" s="101" t="s">
        <v>30</v>
      </c>
      <c r="H88" s="107">
        <v>0</v>
      </c>
      <c r="I88" s="118"/>
      <c r="J88" s="140">
        <v>24</v>
      </c>
      <c r="K88" s="105">
        <v>24</v>
      </c>
      <c r="L88" s="106">
        <f t="shared" si="3"/>
        <v>1</v>
      </c>
      <c r="M88" s="121">
        <v>0</v>
      </c>
      <c r="N88" s="108">
        <f t="shared" si="12"/>
        <v>0</v>
      </c>
      <c r="O88" s="109">
        <f t="shared" si="13"/>
        <v>0</v>
      </c>
      <c r="P88" s="109"/>
      <c r="Q88" s="109">
        <f t="shared" si="10"/>
        <v>0</v>
      </c>
      <c r="R88" s="146">
        <v>0</v>
      </c>
      <c r="S88" s="146">
        <v>0</v>
      </c>
      <c r="T88" s="108"/>
      <c r="U88" s="109">
        <f t="shared" si="11"/>
        <v>0</v>
      </c>
      <c r="V88" s="110">
        <v>0</v>
      </c>
      <c r="W88" s="111">
        <v>0</v>
      </c>
      <c r="X88" s="111"/>
      <c r="Y88" s="109">
        <f t="shared" si="14"/>
        <v>0</v>
      </c>
      <c r="Z88" s="147" t="s">
        <v>207</v>
      </c>
      <c r="AA88" s="53"/>
      <c r="AB88" s="53"/>
    </row>
    <row r="89" spans="1:28" s="55" customFormat="1" outlineLevel="1" x14ac:dyDescent="0.3">
      <c r="B89" s="100">
        <v>30</v>
      </c>
      <c r="C89" s="101"/>
      <c r="D89" s="101"/>
      <c r="E89" s="142">
        <v>45505</v>
      </c>
      <c r="F89" s="101" t="s">
        <v>208</v>
      </c>
      <c r="G89" s="101" t="s">
        <v>38</v>
      </c>
      <c r="H89" s="107">
        <v>0</v>
      </c>
      <c r="I89" s="118"/>
      <c r="J89" s="140">
        <v>24</v>
      </c>
      <c r="K89" s="143">
        <v>24</v>
      </c>
      <c r="L89" s="106">
        <f t="shared" si="3"/>
        <v>1</v>
      </c>
      <c r="M89" s="121">
        <v>0</v>
      </c>
      <c r="N89" s="108">
        <f t="shared" si="12"/>
        <v>0</v>
      </c>
      <c r="O89" s="109">
        <f t="shared" si="13"/>
        <v>0</v>
      </c>
      <c r="P89" s="109"/>
      <c r="Q89" s="109">
        <f t="shared" si="10"/>
        <v>0</v>
      </c>
      <c r="R89" s="146">
        <v>0</v>
      </c>
      <c r="S89" s="146">
        <v>0</v>
      </c>
      <c r="T89" s="108"/>
      <c r="U89" s="109">
        <f t="shared" si="11"/>
        <v>0</v>
      </c>
      <c r="V89" s="110">
        <v>0</v>
      </c>
      <c r="W89" s="111">
        <v>0</v>
      </c>
      <c r="X89" s="111"/>
      <c r="Y89" s="109">
        <f t="shared" si="14"/>
        <v>0</v>
      </c>
      <c r="Z89" s="141" t="s">
        <v>209</v>
      </c>
      <c r="AA89" s="53"/>
      <c r="AB89" s="53"/>
    </row>
    <row r="90" spans="1:28" s="55" customFormat="1" outlineLevel="1" x14ac:dyDescent="0.3">
      <c r="B90" s="100">
        <v>31</v>
      </c>
      <c r="C90" s="101"/>
      <c r="D90" s="101"/>
      <c r="E90" s="142">
        <v>45511</v>
      </c>
      <c r="F90" s="101" t="s">
        <v>210</v>
      </c>
      <c r="G90" s="101" t="s">
        <v>48</v>
      </c>
      <c r="H90" s="107">
        <v>0</v>
      </c>
      <c r="I90" s="118"/>
      <c r="J90" s="140">
        <v>24</v>
      </c>
      <c r="K90" s="143">
        <v>24</v>
      </c>
      <c r="L90" s="106">
        <f t="shared" si="3"/>
        <v>1</v>
      </c>
      <c r="M90" s="121">
        <v>0</v>
      </c>
      <c r="N90" s="108">
        <f t="shared" si="12"/>
        <v>0</v>
      </c>
      <c r="O90" s="109">
        <f t="shared" si="13"/>
        <v>0</v>
      </c>
      <c r="P90" s="109"/>
      <c r="Q90" s="109">
        <f t="shared" si="10"/>
        <v>0</v>
      </c>
      <c r="R90" s="146">
        <v>0</v>
      </c>
      <c r="S90" s="146">
        <v>0</v>
      </c>
      <c r="T90" s="108"/>
      <c r="U90" s="109">
        <f t="shared" si="11"/>
        <v>0</v>
      </c>
      <c r="V90" s="110">
        <v>0</v>
      </c>
      <c r="W90" s="111">
        <v>0</v>
      </c>
      <c r="X90" s="111"/>
      <c r="Y90" s="109">
        <f t="shared" si="14"/>
        <v>0</v>
      </c>
      <c r="Z90" s="141" t="s">
        <v>211</v>
      </c>
      <c r="AA90" s="53"/>
      <c r="AB90" s="53"/>
    </row>
    <row r="91" spans="1:28" s="13" customFormat="1" ht="11.4" outlineLevel="1" x14ac:dyDescent="0.2">
      <c r="B91" s="100">
        <v>32</v>
      </c>
      <c r="C91" s="101"/>
      <c r="D91" s="101"/>
      <c r="E91" s="113">
        <v>45541</v>
      </c>
      <c r="F91" s="101" t="s">
        <v>212</v>
      </c>
      <c r="G91" s="101" t="s">
        <v>100</v>
      </c>
      <c r="H91" s="107">
        <v>0</v>
      </c>
      <c r="I91" s="118"/>
      <c r="J91" s="140">
        <v>24</v>
      </c>
      <c r="K91" s="144">
        <v>24</v>
      </c>
      <c r="L91" s="106">
        <f t="shared" si="3"/>
        <v>1</v>
      </c>
      <c r="M91" s="121">
        <v>0</v>
      </c>
      <c r="N91" s="108">
        <f t="shared" si="12"/>
        <v>0</v>
      </c>
      <c r="O91" s="109">
        <f t="shared" si="13"/>
        <v>0</v>
      </c>
      <c r="P91" s="109"/>
      <c r="Q91" s="109">
        <f t="shared" si="10"/>
        <v>0</v>
      </c>
      <c r="R91" s="146">
        <v>0</v>
      </c>
      <c r="S91" s="146">
        <v>0</v>
      </c>
      <c r="T91" s="108"/>
      <c r="U91" s="109">
        <f t="shared" si="11"/>
        <v>0</v>
      </c>
      <c r="V91" s="110">
        <v>0</v>
      </c>
      <c r="W91" s="111">
        <v>0</v>
      </c>
      <c r="X91" s="111"/>
      <c r="Y91" s="109">
        <f t="shared" si="14"/>
        <v>0</v>
      </c>
      <c r="Z91" s="141" t="s">
        <v>213</v>
      </c>
      <c r="AA91" s="75"/>
      <c r="AB91" s="75"/>
    </row>
    <row r="92" spans="1:28" s="13" customFormat="1" ht="11.4" outlineLevel="1" x14ac:dyDescent="0.2">
      <c r="B92" s="100">
        <v>33</v>
      </c>
      <c r="C92" s="101"/>
      <c r="D92" s="101"/>
      <c r="E92" s="113">
        <v>45553</v>
      </c>
      <c r="F92" s="101" t="s">
        <v>214</v>
      </c>
      <c r="G92" s="101" t="s">
        <v>30</v>
      </c>
      <c r="H92" s="107">
        <v>0</v>
      </c>
      <c r="I92" s="118"/>
      <c r="J92" s="140">
        <v>24</v>
      </c>
      <c r="K92" s="144">
        <v>24</v>
      </c>
      <c r="L92" s="106">
        <f t="shared" si="3"/>
        <v>1</v>
      </c>
      <c r="M92" s="121">
        <v>0</v>
      </c>
      <c r="N92" s="108">
        <f t="shared" si="12"/>
        <v>0</v>
      </c>
      <c r="O92" s="109">
        <f t="shared" si="13"/>
        <v>0</v>
      </c>
      <c r="P92" s="109"/>
      <c r="Q92" s="109">
        <f t="shared" si="10"/>
        <v>0</v>
      </c>
      <c r="R92" s="146">
        <v>0</v>
      </c>
      <c r="S92" s="146">
        <v>0</v>
      </c>
      <c r="T92" s="108"/>
      <c r="U92" s="109">
        <f t="shared" si="11"/>
        <v>0</v>
      </c>
      <c r="V92" s="110">
        <v>0</v>
      </c>
      <c r="W92" s="111">
        <v>0</v>
      </c>
      <c r="X92" s="111"/>
      <c r="Y92" s="109">
        <f t="shared" si="14"/>
        <v>0</v>
      </c>
      <c r="Z92" s="141" t="s">
        <v>215</v>
      </c>
      <c r="AA92" s="75"/>
      <c r="AB92" s="75"/>
    </row>
    <row r="93" spans="1:28" s="55" customFormat="1" outlineLevel="1" x14ac:dyDescent="0.3">
      <c r="B93" s="100">
        <v>34</v>
      </c>
      <c r="C93" s="101"/>
      <c r="D93" s="101"/>
      <c r="E93" s="113">
        <v>45631</v>
      </c>
      <c r="F93" s="101" t="s">
        <v>216</v>
      </c>
      <c r="G93" s="145" t="s">
        <v>117</v>
      </c>
      <c r="H93" s="107">
        <v>0</v>
      </c>
      <c r="I93" s="118"/>
      <c r="J93" s="140">
        <v>24</v>
      </c>
      <c r="K93" s="144">
        <v>24</v>
      </c>
      <c r="L93" s="106">
        <f t="shared" si="3"/>
        <v>1</v>
      </c>
      <c r="M93" s="121">
        <v>0</v>
      </c>
      <c r="N93" s="108">
        <f t="shared" si="12"/>
        <v>0</v>
      </c>
      <c r="O93" s="109">
        <f t="shared" si="13"/>
        <v>0</v>
      </c>
      <c r="P93" s="109"/>
      <c r="Q93" s="109">
        <f t="shared" si="10"/>
        <v>0</v>
      </c>
      <c r="R93" s="146">
        <v>0</v>
      </c>
      <c r="S93" s="146">
        <v>0</v>
      </c>
      <c r="T93" s="108"/>
      <c r="U93" s="109">
        <f t="shared" si="11"/>
        <v>0</v>
      </c>
      <c r="V93" s="110">
        <v>0</v>
      </c>
      <c r="W93" s="111">
        <v>0</v>
      </c>
      <c r="X93" s="111"/>
      <c r="Y93" s="109">
        <f t="shared" si="14"/>
        <v>0</v>
      </c>
      <c r="Z93" s="141" t="s">
        <v>217</v>
      </c>
      <c r="AA93" s="53"/>
      <c r="AB93" s="53"/>
    </row>
    <row r="94" spans="1:28" s="13" customFormat="1" ht="11.4" outlineLevel="1" x14ac:dyDescent="0.2">
      <c r="B94" s="100">
        <v>3</v>
      </c>
      <c r="C94" s="101"/>
      <c r="D94" s="101"/>
      <c r="E94" s="113">
        <v>45545</v>
      </c>
      <c r="F94" s="101" t="s">
        <v>218</v>
      </c>
      <c r="G94" s="101" t="s">
        <v>219</v>
      </c>
      <c r="H94" s="148">
        <v>0</v>
      </c>
      <c r="I94" s="118"/>
      <c r="J94" s="149">
        <v>24</v>
      </c>
      <c r="K94" s="144">
        <v>24</v>
      </c>
      <c r="L94" s="106">
        <f t="shared" si="3"/>
        <v>1</v>
      </c>
      <c r="M94" s="107">
        <v>0</v>
      </c>
      <c r="N94" s="108">
        <v>0</v>
      </c>
      <c r="O94" s="109">
        <v>0</v>
      </c>
      <c r="P94" s="109"/>
      <c r="Q94" s="109">
        <f t="shared" si="10"/>
        <v>0</v>
      </c>
      <c r="R94" s="108">
        <v>0</v>
      </c>
      <c r="S94" s="108">
        <v>0</v>
      </c>
      <c r="T94" s="108"/>
      <c r="U94" s="109">
        <f t="shared" si="11"/>
        <v>0</v>
      </c>
      <c r="V94" s="110">
        <v>0</v>
      </c>
      <c r="W94" s="111">
        <v>0</v>
      </c>
      <c r="X94" s="111"/>
      <c r="Y94" s="109">
        <f t="shared" si="14"/>
        <v>0</v>
      </c>
      <c r="Z94" s="141" t="s">
        <v>220</v>
      </c>
      <c r="AA94" s="96"/>
      <c r="AB94" s="53"/>
    </row>
    <row r="95" spans="1:28" s="55" customFormat="1" outlineLevel="1" x14ac:dyDescent="0.3">
      <c r="B95" s="100">
        <v>55</v>
      </c>
      <c r="C95" s="101"/>
      <c r="D95" s="101"/>
      <c r="E95" s="142">
        <v>45506</v>
      </c>
      <c r="F95" s="101" t="s">
        <v>221</v>
      </c>
      <c r="G95" s="101" t="s">
        <v>84</v>
      </c>
      <c r="H95" s="107">
        <v>0</v>
      </c>
      <c r="I95" s="118"/>
      <c r="J95" s="149">
        <v>24</v>
      </c>
      <c r="K95" s="143">
        <v>24</v>
      </c>
      <c r="L95" s="106">
        <f t="shared" si="3"/>
        <v>1</v>
      </c>
      <c r="M95" s="107">
        <v>0</v>
      </c>
      <c r="N95" s="108">
        <v>0</v>
      </c>
      <c r="O95" s="109">
        <v>0</v>
      </c>
      <c r="P95" s="109"/>
      <c r="Q95" s="109">
        <f t="shared" si="10"/>
        <v>0</v>
      </c>
      <c r="R95" s="146">
        <v>0</v>
      </c>
      <c r="S95" s="146">
        <v>0</v>
      </c>
      <c r="T95" s="146">
        <f>'[1]OKT''25'!S190+P95-X95</f>
        <v>0</v>
      </c>
      <c r="U95" s="109">
        <f t="shared" ref="U95:U101" si="15">+R95+S95+T95</f>
        <v>0</v>
      </c>
      <c r="V95" s="110">
        <v>0</v>
      </c>
      <c r="W95" s="111">
        <v>0</v>
      </c>
      <c r="X95" s="111"/>
      <c r="Y95" s="109">
        <f>+V95+W95+X95</f>
        <v>0</v>
      </c>
      <c r="Z95" s="141" t="s">
        <v>222</v>
      </c>
      <c r="AA95" s="96"/>
      <c r="AB95" s="53"/>
    </row>
    <row r="96" spans="1:28" s="55" customFormat="1" outlineLevel="1" x14ac:dyDescent="0.3">
      <c r="B96" s="100">
        <v>145</v>
      </c>
      <c r="C96" s="117" t="s">
        <v>223</v>
      </c>
      <c r="D96" s="101"/>
      <c r="E96" s="113">
        <v>45568</v>
      </c>
      <c r="F96" s="101" t="s">
        <v>224</v>
      </c>
      <c r="G96" s="145" t="s">
        <v>33</v>
      </c>
      <c r="H96" s="107">
        <v>0</v>
      </c>
      <c r="I96" s="118"/>
      <c r="J96" s="149">
        <v>24</v>
      </c>
      <c r="K96" s="144">
        <v>24</v>
      </c>
      <c r="L96" s="106">
        <f t="shared" si="3"/>
        <v>1</v>
      </c>
      <c r="M96" s="107">
        <v>0</v>
      </c>
      <c r="N96" s="108">
        <v>0</v>
      </c>
      <c r="O96" s="109">
        <v>0</v>
      </c>
      <c r="P96" s="109"/>
      <c r="Q96" s="109">
        <f t="shared" si="10"/>
        <v>0</v>
      </c>
      <c r="R96" s="146">
        <v>0</v>
      </c>
      <c r="S96" s="146">
        <v>0</v>
      </c>
      <c r="T96" s="146">
        <f>'[1]OKT''25'!S280+P96-X96</f>
        <v>0</v>
      </c>
      <c r="U96" s="109">
        <f t="shared" si="15"/>
        <v>0</v>
      </c>
      <c r="V96" s="110">
        <v>0</v>
      </c>
      <c r="W96" s="111">
        <v>0</v>
      </c>
      <c r="X96" s="111"/>
      <c r="Y96" s="109">
        <f t="shared" ref="Y96:Y101" si="16">+V96+W96+X96</f>
        <v>0</v>
      </c>
      <c r="Z96" s="141" t="s">
        <v>225</v>
      </c>
      <c r="AA96" s="96"/>
      <c r="AB96" s="53"/>
    </row>
    <row r="97" spans="1:28" s="150" customFormat="1" x14ac:dyDescent="0.3">
      <c r="B97" s="100">
        <v>42</v>
      </c>
      <c r="C97" s="101"/>
      <c r="D97" s="101"/>
      <c r="E97" s="102">
        <v>45485</v>
      </c>
      <c r="F97" s="101" t="s">
        <v>226</v>
      </c>
      <c r="G97" s="101" t="s">
        <v>33</v>
      </c>
      <c r="H97" s="107">
        <v>2100000</v>
      </c>
      <c r="I97" s="118"/>
      <c r="J97" s="149">
        <v>24</v>
      </c>
      <c r="K97" s="105">
        <v>24</v>
      </c>
      <c r="L97" s="106">
        <f t="shared" si="3"/>
        <v>1</v>
      </c>
      <c r="M97" s="107">
        <v>700000</v>
      </c>
      <c r="N97" s="108">
        <v>700000</v>
      </c>
      <c r="O97" s="109">
        <v>0</v>
      </c>
      <c r="P97" s="109"/>
      <c r="Q97" s="109">
        <f t="shared" si="10"/>
        <v>700000</v>
      </c>
      <c r="R97" s="146">
        <v>0</v>
      </c>
      <c r="S97" s="146">
        <v>0</v>
      </c>
      <c r="T97" s="146">
        <f>'[1]NOV''25'!S186+P97-X97</f>
        <v>0</v>
      </c>
      <c r="U97" s="109">
        <f t="shared" si="15"/>
        <v>0</v>
      </c>
      <c r="V97" s="110">
        <v>700000</v>
      </c>
      <c r="W97" s="111">
        <v>0</v>
      </c>
      <c r="X97" s="111"/>
      <c r="Y97" s="109">
        <f t="shared" si="16"/>
        <v>700000</v>
      </c>
      <c r="Z97" s="141">
        <f t="shared" ref="Z97:Z101" si="17">SUM(M97-V97)</f>
        <v>0</v>
      </c>
      <c r="AA97" s="152"/>
      <c r="AB97" s="151"/>
    </row>
    <row r="98" spans="1:28" s="150" customFormat="1" x14ac:dyDescent="0.3">
      <c r="B98" s="100">
        <v>62</v>
      </c>
      <c r="C98" s="101"/>
      <c r="D98" s="101"/>
      <c r="E98" s="142">
        <v>45506</v>
      </c>
      <c r="F98" s="101" t="s">
        <v>227</v>
      </c>
      <c r="G98" s="101" t="s">
        <v>33</v>
      </c>
      <c r="H98" s="107">
        <v>3500000</v>
      </c>
      <c r="I98" s="118"/>
      <c r="J98" s="149">
        <v>24</v>
      </c>
      <c r="K98" s="143">
        <v>24</v>
      </c>
      <c r="L98" s="106">
        <f t="shared" si="3"/>
        <v>1</v>
      </c>
      <c r="M98" s="107">
        <v>1312500</v>
      </c>
      <c r="N98" s="108">
        <v>1312500</v>
      </c>
      <c r="O98" s="109">
        <v>0</v>
      </c>
      <c r="P98" s="109"/>
      <c r="Q98" s="109">
        <f t="shared" si="10"/>
        <v>1312500</v>
      </c>
      <c r="R98" s="146">
        <f>'[1]NOV''25'!Q205+N98-V98</f>
        <v>0</v>
      </c>
      <c r="S98" s="146">
        <f>'[1]NOV''25'!R205+O98-W98</f>
        <v>0</v>
      </c>
      <c r="T98" s="146">
        <f>'[1]NOV''25'!S205+P98-X98</f>
        <v>0</v>
      </c>
      <c r="U98" s="109">
        <f t="shared" si="15"/>
        <v>0</v>
      </c>
      <c r="V98" s="110">
        <v>1312500</v>
      </c>
      <c r="W98" s="111">
        <v>0</v>
      </c>
      <c r="X98" s="111"/>
      <c r="Y98" s="109">
        <f t="shared" si="16"/>
        <v>1312500</v>
      </c>
      <c r="Z98" s="141">
        <f t="shared" si="17"/>
        <v>0</v>
      </c>
      <c r="AA98" s="152"/>
      <c r="AB98" s="151"/>
    </row>
    <row r="99" spans="1:28" s="150" customFormat="1" x14ac:dyDescent="0.3">
      <c r="B99" s="100">
        <v>155</v>
      </c>
      <c r="C99" s="101"/>
      <c r="D99" s="101"/>
      <c r="E99" s="113">
        <v>45576</v>
      </c>
      <c r="F99" s="101" t="s">
        <v>228</v>
      </c>
      <c r="G99" s="145" t="s">
        <v>33</v>
      </c>
      <c r="H99" s="107">
        <v>9740000</v>
      </c>
      <c r="I99" s="118"/>
      <c r="J99" s="149">
        <v>24</v>
      </c>
      <c r="K99" s="144">
        <v>24</v>
      </c>
      <c r="L99" s="106">
        <f t="shared" si="3"/>
        <v>1</v>
      </c>
      <c r="M99" s="107">
        <v>4464166</v>
      </c>
      <c r="N99" s="108">
        <v>4464166</v>
      </c>
      <c r="O99" s="109">
        <v>0</v>
      </c>
      <c r="P99" s="109"/>
      <c r="Q99" s="109">
        <f t="shared" si="10"/>
        <v>4464166</v>
      </c>
      <c r="R99" s="146">
        <v>0</v>
      </c>
      <c r="S99" s="146">
        <v>0</v>
      </c>
      <c r="T99" s="146">
        <v>0</v>
      </c>
      <c r="U99" s="109">
        <f t="shared" si="15"/>
        <v>0</v>
      </c>
      <c r="V99" s="110">
        <v>4464166</v>
      </c>
      <c r="W99" s="111">
        <v>0</v>
      </c>
      <c r="X99" s="111"/>
      <c r="Y99" s="109">
        <f t="shared" si="16"/>
        <v>4464166</v>
      </c>
      <c r="Z99" s="141">
        <f t="shared" si="17"/>
        <v>0</v>
      </c>
      <c r="AA99" s="152"/>
      <c r="AB99" s="151"/>
    </row>
    <row r="100" spans="1:28" s="150" customFormat="1" x14ac:dyDescent="0.3">
      <c r="A100" s="150" t="s">
        <v>127</v>
      </c>
      <c r="B100" s="100">
        <v>161</v>
      </c>
      <c r="C100" s="101"/>
      <c r="D100" s="101"/>
      <c r="E100" s="113">
        <v>45580</v>
      </c>
      <c r="F100" s="101" t="s">
        <v>229</v>
      </c>
      <c r="G100" s="101" t="s">
        <v>117</v>
      </c>
      <c r="H100" s="107">
        <v>7650000</v>
      </c>
      <c r="I100" s="118"/>
      <c r="J100" s="149">
        <v>24</v>
      </c>
      <c r="K100" s="144">
        <v>24</v>
      </c>
      <c r="L100" s="106">
        <f t="shared" si="3"/>
        <v>1</v>
      </c>
      <c r="M100" s="107">
        <v>3816366</v>
      </c>
      <c r="N100" s="108">
        <v>3816366</v>
      </c>
      <c r="O100" s="109">
        <v>0</v>
      </c>
      <c r="P100" s="109"/>
      <c r="Q100" s="109">
        <f t="shared" si="10"/>
        <v>3816366</v>
      </c>
      <c r="R100" s="146">
        <v>0</v>
      </c>
      <c r="S100" s="146">
        <v>0</v>
      </c>
      <c r="T100" s="146">
        <v>0</v>
      </c>
      <c r="U100" s="109">
        <f t="shared" si="15"/>
        <v>0</v>
      </c>
      <c r="V100" s="110">
        <v>3816366</v>
      </c>
      <c r="W100" s="111">
        <v>0</v>
      </c>
      <c r="X100" s="111"/>
      <c r="Y100" s="109">
        <f t="shared" si="16"/>
        <v>3816366</v>
      </c>
      <c r="Z100" s="141">
        <f t="shared" si="17"/>
        <v>0</v>
      </c>
      <c r="AA100" s="152"/>
      <c r="AB100" s="151"/>
    </row>
    <row r="101" spans="1:28" s="150" customFormat="1" x14ac:dyDescent="0.3">
      <c r="B101" s="100">
        <v>187</v>
      </c>
      <c r="C101" s="101"/>
      <c r="D101" s="101"/>
      <c r="E101" s="113">
        <v>45604</v>
      </c>
      <c r="F101" s="101" t="s">
        <v>230</v>
      </c>
      <c r="G101" s="145" t="s">
        <v>84</v>
      </c>
      <c r="H101" s="107">
        <v>4750000</v>
      </c>
      <c r="I101" s="118"/>
      <c r="J101" s="149">
        <f>(H101-Z101)/N101</f>
        <v>2</v>
      </c>
      <c r="K101" s="144">
        <v>24</v>
      </c>
      <c r="L101" s="106">
        <f t="shared" si="3"/>
        <v>8.3333333333333329E-2</v>
      </c>
      <c r="M101" s="107">
        <v>2375000</v>
      </c>
      <c r="N101" s="108">
        <v>2375000</v>
      </c>
      <c r="O101" s="109">
        <v>0</v>
      </c>
      <c r="P101" s="109"/>
      <c r="Q101" s="109">
        <f t="shared" si="10"/>
        <v>2375000</v>
      </c>
      <c r="R101" s="146">
        <f>'[1]NOV''25'!Q324+N101-V101</f>
        <v>-0.33333333348855376</v>
      </c>
      <c r="S101" s="146">
        <f>'[1]NOV''25'!R324+O101-W101</f>
        <v>0</v>
      </c>
      <c r="T101" s="146">
        <f>'[1]NOV''25'!S324+P101-X101</f>
        <v>0</v>
      </c>
      <c r="U101" s="109">
        <f t="shared" si="15"/>
        <v>-0.33333333348855376</v>
      </c>
      <c r="V101" s="110">
        <v>2375000</v>
      </c>
      <c r="W101" s="111">
        <v>0</v>
      </c>
      <c r="X101" s="111"/>
      <c r="Y101" s="109">
        <f t="shared" si="16"/>
        <v>2375000</v>
      </c>
      <c r="Z101" s="141">
        <f t="shared" si="17"/>
        <v>0</v>
      </c>
      <c r="AA101" s="152"/>
      <c r="AB101" s="151"/>
    </row>
    <row r="102" spans="1:28" s="55" customFormat="1" outlineLevel="1" x14ac:dyDescent="0.3">
      <c r="B102" s="153">
        <v>1</v>
      </c>
      <c r="C102" s="154"/>
      <c r="D102" s="154"/>
      <c r="E102" s="155">
        <v>45449</v>
      </c>
      <c r="F102" s="154" t="s">
        <v>231</v>
      </c>
      <c r="G102" s="154" t="s">
        <v>38</v>
      </c>
      <c r="H102" s="156">
        <v>6800000</v>
      </c>
      <c r="I102" s="157"/>
      <c r="J102" s="158">
        <f>(H102-Z102)/283333</f>
        <v>2</v>
      </c>
      <c r="K102" s="159">
        <v>24</v>
      </c>
      <c r="L102" s="160">
        <f t="shared" si="3"/>
        <v>8.3333333333333329E-2</v>
      </c>
      <c r="M102" s="156">
        <v>6233334</v>
      </c>
      <c r="N102" s="161">
        <v>6233334</v>
      </c>
      <c r="O102" s="162">
        <v>0</v>
      </c>
      <c r="P102" s="162"/>
      <c r="Q102" s="162">
        <f t="shared" ref="Q102:Q113" si="18">+N102+O102</f>
        <v>6233334</v>
      </c>
      <c r="R102" s="161">
        <v>0</v>
      </c>
      <c r="S102" s="162">
        <v>0</v>
      </c>
      <c r="T102" s="162"/>
      <c r="U102" s="162">
        <f t="shared" ref="U102:U111" si="19">+R102+S102</f>
        <v>0</v>
      </c>
      <c r="V102" s="163">
        <v>0</v>
      </c>
      <c r="W102" s="163">
        <v>0</v>
      </c>
      <c r="X102" s="163"/>
      <c r="Y102" s="162">
        <f t="shared" si="14"/>
        <v>0</v>
      </c>
      <c r="Z102" s="164">
        <f t="shared" ref="Z102:Z114" si="20">SUM(M102-V102)</f>
        <v>6233334</v>
      </c>
      <c r="AA102" s="53"/>
      <c r="AB102" s="53"/>
    </row>
    <row r="103" spans="1:28" s="55" customFormat="1" outlineLevel="1" x14ac:dyDescent="0.3">
      <c r="B103" s="153">
        <v>2</v>
      </c>
      <c r="C103" s="154"/>
      <c r="D103" s="154"/>
      <c r="E103" s="155">
        <v>45490</v>
      </c>
      <c r="F103" s="154" t="s">
        <v>232</v>
      </c>
      <c r="G103" s="154" t="s">
        <v>30</v>
      </c>
      <c r="H103" s="156">
        <v>5300000</v>
      </c>
      <c r="I103" s="157"/>
      <c r="J103" s="158">
        <f>(H103-Z103)/220833</f>
        <v>4.0000045283087218</v>
      </c>
      <c r="K103" s="159">
        <v>24</v>
      </c>
      <c r="L103" s="160">
        <f t="shared" si="3"/>
        <v>0.16666685534619674</v>
      </c>
      <c r="M103" s="156">
        <v>4416667</v>
      </c>
      <c r="N103" s="161">
        <v>4416667</v>
      </c>
      <c r="O103" s="162">
        <v>0</v>
      </c>
      <c r="P103" s="162"/>
      <c r="Q103" s="162">
        <f t="shared" si="18"/>
        <v>4416667</v>
      </c>
      <c r="R103" s="161">
        <v>0</v>
      </c>
      <c r="S103" s="162">
        <v>0</v>
      </c>
      <c r="T103" s="162"/>
      <c r="U103" s="162">
        <f t="shared" si="19"/>
        <v>0</v>
      </c>
      <c r="V103" s="163">
        <v>0</v>
      </c>
      <c r="W103" s="165">
        <v>0</v>
      </c>
      <c r="X103" s="165"/>
      <c r="Y103" s="162">
        <f t="shared" si="14"/>
        <v>0</v>
      </c>
      <c r="Z103" s="166">
        <f t="shared" si="20"/>
        <v>4416667</v>
      </c>
      <c r="AA103" s="53"/>
      <c r="AB103" s="53"/>
    </row>
    <row r="104" spans="1:28" s="55" customFormat="1" outlineLevel="1" x14ac:dyDescent="0.3">
      <c r="B104" s="153">
        <v>3</v>
      </c>
      <c r="C104" s="154"/>
      <c r="D104" s="154"/>
      <c r="E104" s="167">
        <v>45647</v>
      </c>
      <c r="F104" s="154" t="s">
        <v>233</v>
      </c>
      <c r="G104" s="168" t="s">
        <v>234</v>
      </c>
      <c r="H104" s="156">
        <v>17000000</v>
      </c>
      <c r="I104" s="157"/>
      <c r="J104" s="158">
        <f>(H104-Z104)/472222</f>
        <v>2</v>
      </c>
      <c r="K104" s="169">
        <v>36</v>
      </c>
      <c r="L104" s="160">
        <f t="shared" si="3"/>
        <v>5.5555555555555552E-2</v>
      </c>
      <c r="M104" s="156">
        <v>16055556</v>
      </c>
      <c r="N104" s="161">
        <v>16055556</v>
      </c>
      <c r="O104" s="162">
        <v>0</v>
      </c>
      <c r="P104" s="162"/>
      <c r="Q104" s="162">
        <f t="shared" si="18"/>
        <v>16055556</v>
      </c>
      <c r="R104" s="161">
        <v>0</v>
      </c>
      <c r="S104" s="162">
        <v>0</v>
      </c>
      <c r="T104" s="162"/>
      <c r="U104" s="162">
        <f t="shared" si="19"/>
        <v>0</v>
      </c>
      <c r="V104" s="163"/>
      <c r="W104" s="165"/>
      <c r="X104" s="165"/>
      <c r="Y104" s="162">
        <f t="shared" si="14"/>
        <v>0</v>
      </c>
      <c r="Z104" s="166">
        <f t="shared" si="20"/>
        <v>16055556</v>
      </c>
      <c r="AA104" s="53"/>
      <c r="AB104" s="53"/>
    </row>
    <row r="105" spans="1:28" outlineLevel="1" x14ac:dyDescent="0.3">
      <c r="B105" s="153">
        <v>4</v>
      </c>
      <c r="C105" s="170"/>
      <c r="D105" s="170"/>
      <c r="E105" s="171">
        <v>45484</v>
      </c>
      <c r="F105" s="172" t="s">
        <v>235</v>
      </c>
      <c r="G105" s="154" t="s">
        <v>38</v>
      </c>
      <c r="H105" s="156">
        <v>3000000</v>
      </c>
      <c r="I105" s="157"/>
      <c r="J105" s="158">
        <f>(H105-Z105)/125000</f>
        <v>8</v>
      </c>
      <c r="K105" s="173">
        <v>24</v>
      </c>
      <c r="L105" s="160">
        <f t="shared" si="3"/>
        <v>0.33333333333333331</v>
      </c>
      <c r="M105" s="174">
        <v>2000000</v>
      </c>
      <c r="N105" s="161">
        <v>2000000</v>
      </c>
      <c r="O105" s="162">
        <v>0</v>
      </c>
      <c r="P105" s="162"/>
      <c r="Q105" s="162">
        <f t="shared" si="18"/>
        <v>2000000</v>
      </c>
      <c r="R105" s="163">
        <v>0</v>
      </c>
      <c r="S105" s="165">
        <v>0</v>
      </c>
      <c r="T105" s="165"/>
      <c r="U105" s="162">
        <f t="shared" si="19"/>
        <v>0</v>
      </c>
      <c r="V105" s="163"/>
      <c r="W105" s="165"/>
      <c r="X105" s="165"/>
      <c r="Y105" s="162">
        <f t="shared" si="14"/>
        <v>0</v>
      </c>
      <c r="Z105" s="175">
        <f t="shared" si="20"/>
        <v>2000000</v>
      </c>
    </row>
    <row r="106" spans="1:28" s="55" customFormat="1" outlineLevel="1" x14ac:dyDescent="0.3">
      <c r="B106" s="153">
        <v>8</v>
      </c>
      <c r="C106" s="176" t="s">
        <v>236</v>
      </c>
      <c r="D106" s="154"/>
      <c r="E106" s="167">
        <v>45674</v>
      </c>
      <c r="F106" s="154" t="s">
        <v>237</v>
      </c>
      <c r="G106" s="168" t="s">
        <v>117</v>
      </c>
      <c r="H106" s="156">
        <v>5330000</v>
      </c>
      <c r="I106" s="157"/>
      <c r="J106" s="177">
        <f>(H106-Z106)/148056</f>
        <v>5.9999804878634437</v>
      </c>
      <c r="K106" s="178">
        <v>36</v>
      </c>
      <c r="L106" s="160">
        <f t="shared" si="3"/>
        <v>0.16666612466287345</v>
      </c>
      <c r="M106" s="156">
        <v>4441666.8888888899</v>
      </c>
      <c r="N106" s="161">
        <v>4441667</v>
      </c>
      <c r="O106" s="162">
        <v>0</v>
      </c>
      <c r="P106" s="162"/>
      <c r="Q106" s="162">
        <f t="shared" si="18"/>
        <v>4441667</v>
      </c>
      <c r="R106" s="161">
        <v>0</v>
      </c>
      <c r="S106" s="161">
        <v>0</v>
      </c>
      <c r="T106" s="161"/>
      <c r="U106" s="162">
        <f t="shared" si="19"/>
        <v>0</v>
      </c>
      <c r="V106" s="179">
        <v>0</v>
      </c>
      <c r="W106" s="180">
        <v>0</v>
      </c>
      <c r="X106" s="180"/>
      <c r="Y106" s="162">
        <f t="shared" si="14"/>
        <v>0</v>
      </c>
      <c r="Z106" s="166">
        <f t="shared" si="20"/>
        <v>4441666.8888888899</v>
      </c>
      <c r="AA106" s="53"/>
      <c r="AB106" s="53"/>
    </row>
    <row r="107" spans="1:28" outlineLevel="1" x14ac:dyDescent="0.3">
      <c r="B107" s="153">
        <v>5</v>
      </c>
      <c r="C107" s="170"/>
      <c r="D107" s="170"/>
      <c r="E107" s="167">
        <v>45567</v>
      </c>
      <c r="F107" s="154" t="s">
        <v>238</v>
      </c>
      <c r="G107" s="168" t="s">
        <v>239</v>
      </c>
      <c r="H107" s="156">
        <v>10600000</v>
      </c>
      <c r="I107" s="157"/>
      <c r="J107" s="158">
        <f>(H107-Z107)/441667</f>
        <v>4.9999954717015305</v>
      </c>
      <c r="K107" s="181">
        <v>24</v>
      </c>
      <c r="L107" s="160">
        <f t="shared" ref="L107:L114" si="21">J107/K107</f>
        <v>0.20833314465423045</v>
      </c>
      <c r="M107" s="174">
        <v>8391667</v>
      </c>
      <c r="N107" s="161">
        <v>8391667</v>
      </c>
      <c r="O107" s="162">
        <v>0</v>
      </c>
      <c r="P107" s="162"/>
      <c r="Q107" s="162">
        <f t="shared" si="18"/>
        <v>8391667</v>
      </c>
      <c r="R107" s="163">
        <v>0</v>
      </c>
      <c r="S107" s="165">
        <v>0</v>
      </c>
      <c r="T107" s="165"/>
      <c r="U107" s="162">
        <f t="shared" si="19"/>
        <v>0</v>
      </c>
      <c r="V107" s="163"/>
      <c r="W107" s="165"/>
      <c r="X107" s="165"/>
      <c r="Y107" s="162">
        <f t="shared" si="14"/>
        <v>0</v>
      </c>
      <c r="Z107" s="175">
        <f t="shared" si="20"/>
        <v>8391667</v>
      </c>
    </row>
    <row r="108" spans="1:28" outlineLevel="1" x14ac:dyDescent="0.3">
      <c r="B108" s="153">
        <v>6</v>
      </c>
      <c r="C108" s="153"/>
      <c r="D108" s="153"/>
      <c r="E108" s="167">
        <v>45418</v>
      </c>
      <c r="F108" s="170" t="s">
        <v>240</v>
      </c>
      <c r="G108" s="170" t="s">
        <v>27</v>
      </c>
      <c r="H108" s="174">
        <v>2900000</v>
      </c>
      <c r="I108" s="182"/>
      <c r="J108" s="158">
        <f>(H108-Z108)/120833</f>
        <v>11.000016551769798</v>
      </c>
      <c r="K108" s="159">
        <v>24</v>
      </c>
      <c r="L108" s="160">
        <f t="shared" si="21"/>
        <v>0.45833402299040826</v>
      </c>
      <c r="M108" s="174">
        <v>1570835</v>
      </c>
      <c r="N108" s="161">
        <v>1570835</v>
      </c>
      <c r="O108" s="162">
        <v>0</v>
      </c>
      <c r="P108" s="162"/>
      <c r="Q108" s="162">
        <f t="shared" si="18"/>
        <v>1570835</v>
      </c>
      <c r="R108" s="161">
        <v>0</v>
      </c>
      <c r="S108" s="161">
        <f>O108-W108</f>
        <v>0</v>
      </c>
      <c r="T108" s="161"/>
      <c r="U108" s="162">
        <f t="shared" si="19"/>
        <v>0</v>
      </c>
      <c r="V108" s="163"/>
      <c r="W108" s="165"/>
      <c r="X108" s="165"/>
      <c r="Y108" s="162">
        <f t="shared" si="14"/>
        <v>0</v>
      </c>
      <c r="Z108" s="164">
        <f t="shared" si="20"/>
        <v>1570835</v>
      </c>
    </row>
    <row r="109" spans="1:28" s="55" customFormat="1" outlineLevel="1" x14ac:dyDescent="0.3">
      <c r="B109" s="153">
        <v>7</v>
      </c>
      <c r="C109" s="176" t="s">
        <v>241</v>
      </c>
      <c r="D109" s="154"/>
      <c r="E109" s="167">
        <v>45720</v>
      </c>
      <c r="F109" s="154" t="s">
        <v>160</v>
      </c>
      <c r="G109" s="168" t="s">
        <v>242</v>
      </c>
      <c r="H109" s="156">
        <v>10070000</v>
      </c>
      <c r="I109" s="157"/>
      <c r="J109" s="177">
        <f>(H109-Z109)/279722</f>
        <v>4.0000015888791021</v>
      </c>
      <c r="K109" s="178">
        <v>36</v>
      </c>
      <c r="L109" s="160">
        <f t="shared" si="21"/>
        <v>0.11111115524664172</v>
      </c>
      <c r="M109" s="156">
        <v>8951111.5555555597</v>
      </c>
      <c r="N109" s="161">
        <v>8951112</v>
      </c>
      <c r="O109" s="162">
        <v>0</v>
      </c>
      <c r="P109" s="162"/>
      <c r="Q109" s="162">
        <f t="shared" si="18"/>
        <v>8951112</v>
      </c>
      <c r="R109" s="161">
        <v>0</v>
      </c>
      <c r="S109" s="161">
        <v>0</v>
      </c>
      <c r="T109" s="161"/>
      <c r="U109" s="162">
        <f t="shared" si="19"/>
        <v>0</v>
      </c>
      <c r="V109" s="163">
        <v>0</v>
      </c>
      <c r="W109" s="165">
        <v>0</v>
      </c>
      <c r="X109" s="165"/>
      <c r="Y109" s="162">
        <f t="shared" si="14"/>
        <v>0</v>
      </c>
      <c r="Z109" s="166">
        <f t="shared" si="20"/>
        <v>8951111.5555555597</v>
      </c>
      <c r="AA109" s="53"/>
      <c r="AB109" s="53"/>
    </row>
    <row r="110" spans="1:28" s="55" customFormat="1" outlineLevel="1" x14ac:dyDescent="0.3">
      <c r="A110" s="55" t="s">
        <v>143</v>
      </c>
      <c r="B110" s="153">
        <v>9</v>
      </c>
      <c r="C110" s="154"/>
      <c r="D110" s="154"/>
      <c r="E110" s="167">
        <v>45614</v>
      </c>
      <c r="F110" s="154" t="s">
        <v>243</v>
      </c>
      <c r="G110" s="168" t="s">
        <v>171</v>
      </c>
      <c r="H110" s="156">
        <v>8400000</v>
      </c>
      <c r="I110" s="157"/>
      <c r="J110" s="177">
        <f>(H110-Z110)/350000</f>
        <v>9</v>
      </c>
      <c r="K110" s="169">
        <v>24</v>
      </c>
      <c r="L110" s="160">
        <f t="shared" si="21"/>
        <v>0.375</v>
      </c>
      <c r="M110" s="156">
        <v>5250000</v>
      </c>
      <c r="N110" s="161">
        <v>5250000</v>
      </c>
      <c r="O110" s="162">
        <v>0</v>
      </c>
      <c r="P110" s="162"/>
      <c r="Q110" s="162">
        <f t="shared" si="18"/>
        <v>5250000</v>
      </c>
      <c r="R110" s="183">
        <v>0</v>
      </c>
      <c r="S110" s="183">
        <v>0</v>
      </c>
      <c r="T110" s="161">
        <v>0</v>
      </c>
      <c r="U110" s="162">
        <f t="shared" si="19"/>
        <v>0</v>
      </c>
      <c r="V110" s="163">
        <v>0</v>
      </c>
      <c r="W110" s="165">
        <v>0</v>
      </c>
      <c r="X110" s="165"/>
      <c r="Y110" s="162">
        <f t="shared" si="14"/>
        <v>0</v>
      </c>
      <c r="Z110" s="166">
        <f t="shared" si="20"/>
        <v>5250000</v>
      </c>
      <c r="AA110" s="53"/>
      <c r="AB110" s="53"/>
    </row>
    <row r="111" spans="1:28" s="55" customFormat="1" outlineLevel="1" x14ac:dyDescent="0.3">
      <c r="B111" s="153">
        <v>3</v>
      </c>
      <c r="C111" s="176" t="s">
        <v>244</v>
      </c>
      <c r="D111" s="154"/>
      <c r="E111" s="155">
        <v>45499</v>
      </c>
      <c r="F111" s="154" t="s">
        <v>245</v>
      </c>
      <c r="G111" s="154" t="s">
        <v>246</v>
      </c>
      <c r="H111" s="156">
        <v>5000000</v>
      </c>
      <c r="I111" s="157"/>
      <c r="J111" s="177">
        <f>(H111-Z111)/208333</f>
        <v>12.000017600028174</v>
      </c>
      <c r="K111" s="159">
        <v>24</v>
      </c>
      <c r="L111" s="160">
        <f t="shared" si="21"/>
        <v>0.50000073333450723</v>
      </c>
      <c r="M111" s="156">
        <v>2500000.3333333302</v>
      </c>
      <c r="N111" s="161">
        <v>2500000.3333333302</v>
      </c>
      <c r="O111" s="162">
        <v>0</v>
      </c>
      <c r="P111" s="162"/>
      <c r="Q111" s="162">
        <f t="shared" si="18"/>
        <v>2500000.3333333302</v>
      </c>
      <c r="R111" s="183">
        <v>0</v>
      </c>
      <c r="S111" s="183">
        <v>0</v>
      </c>
      <c r="T111" s="183">
        <v>0</v>
      </c>
      <c r="U111" s="162">
        <f t="shared" si="19"/>
        <v>0</v>
      </c>
      <c r="V111" s="163"/>
      <c r="W111" s="165"/>
      <c r="X111" s="180"/>
      <c r="Y111" s="162">
        <f t="shared" si="14"/>
        <v>0</v>
      </c>
      <c r="Z111" s="166">
        <f t="shared" si="20"/>
        <v>2500000.3333333302</v>
      </c>
      <c r="AA111" s="96"/>
      <c r="AB111" s="53"/>
    </row>
    <row r="112" spans="1:28" s="184" customFormat="1" outlineLevel="1" x14ac:dyDescent="0.3">
      <c r="B112" s="153">
        <v>292</v>
      </c>
      <c r="C112" s="154" t="s">
        <v>247</v>
      </c>
      <c r="D112" s="154"/>
      <c r="E112" s="167">
        <v>45721</v>
      </c>
      <c r="F112" s="154" t="s">
        <v>248</v>
      </c>
      <c r="G112" s="168" t="s">
        <v>249</v>
      </c>
      <c r="H112" s="156">
        <v>3500000</v>
      </c>
      <c r="I112" s="157"/>
      <c r="J112" s="177">
        <f>(H112-Z112)/97222</f>
        <v>7.0000114285975403</v>
      </c>
      <c r="K112" s="178">
        <v>36</v>
      </c>
      <c r="L112" s="160">
        <f t="shared" si="21"/>
        <v>0.19444476190548723</v>
      </c>
      <c r="M112" s="156">
        <v>2819444.8888888899</v>
      </c>
      <c r="N112" s="161">
        <v>2819444.8888888899</v>
      </c>
      <c r="O112" s="162">
        <v>0</v>
      </c>
      <c r="P112" s="162"/>
      <c r="Q112" s="162">
        <f t="shared" si="18"/>
        <v>2819444.8888888899</v>
      </c>
      <c r="R112" s="183">
        <v>0</v>
      </c>
      <c r="S112" s="183">
        <v>0</v>
      </c>
      <c r="T112" s="183">
        <v>0</v>
      </c>
      <c r="U112" s="162">
        <f>+R112+S112+T112</f>
        <v>0</v>
      </c>
      <c r="V112" s="163"/>
      <c r="W112" s="165"/>
      <c r="X112" s="165"/>
      <c r="Y112" s="162">
        <f>+V112+W112+X112</f>
        <v>0</v>
      </c>
      <c r="Z112" s="166">
        <f t="shared" si="20"/>
        <v>2819444.8888888899</v>
      </c>
      <c r="AA112" s="186"/>
      <c r="AB112" s="185"/>
    </row>
    <row r="113" spans="1:28" s="184" customFormat="1" outlineLevel="1" x14ac:dyDescent="0.3">
      <c r="A113" s="184" t="s">
        <v>143</v>
      </c>
      <c r="B113" s="153">
        <v>85</v>
      </c>
      <c r="C113" s="154"/>
      <c r="D113" s="154"/>
      <c r="E113" s="187">
        <v>45526</v>
      </c>
      <c r="F113" s="154" t="s">
        <v>250</v>
      </c>
      <c r="G113" s="154" t="s">
        <v>185</v>
      </c>
      <c r="H113" s="156">
        <v>5175000</v>
      </c>
      <c r="I113" s="157"/>
      <c r="J113" s="177">
        <f>(H113-Z113)/215625</f>
        <v>11</v>
      </c>
      <c r="K113" s="188">
        <v>24</v>
      </c>
      <c r="L113" s="160">
        <f t="shared" si="21"/>
        <v>0.45833333333333331</v>
      </c>
      <c r="M113" s="156">
        <v>2803125</v>
      </c>
      <c r="N113" s="161">
        <v>2803125</v>
      </c>
      <c r="O113" s="162">
        <v>0</v>
      </c>
      <c r="P113" s="162"/>
      <c r="Q113" s="162">
        <f t="shared" si="18"/>
        <v>2803125</v>
      </c>
      <c r="R113" s="183">
        <v>0</v>
      </c>
      <c r="S113" s="183">
        <v>0</v>
      </c>
      <c r="T113" s="183">
        <f>'[1]OKT''25'!S231+P113-X113</f>
        <v>0</v>
      </c>
      <c r="U113" s="162">
        <f>+R113+S113+T113</f>
        <v>0</v>
      </c>
      <c r="V113" s="163">
        <v>0</v>
      </c>
      <c r="W113" s="165">
        <v>0</v>
      </c>
      <c r="X113" s="165">
        <v>0</v>
      </c>
      <c r="Y113" s="162">
        <f>+V113+W113+X113</f>
        <v>0</v>
      </c>
      <c r="Z113" s="166">
        <f t="shared" si="20"/>
        <v>2803125</v>
      </c>
      <c r="AA113" s="186"/>
      <c r="AB113" s="185"/>
    </row>
    <row r="114" spans="1:28" s="184" customFormat="1" x14ac:dyDescent="0.3">
      <c r="B114" s="153">
        <v>367</v>
      </c>
      <c r="C114" s="176" t="s">
        <v>251</v>
      </c>
      <c r="D114" s="154"/>
      <c r="E114" s="167">
        <v>45849</v>
      </c>
      <c r="F114" s="154" t="s">
        <v>252</v>
      </c>
      <c r="G114" s="168" t="s">
        <v>253</v>
      </c>
      <c r="H114" s="156">
        <v>2800000</v>
      </c>
      <c r="I114" s="157">
        <v>2.5000000000000001E-2</v>
      </c>
      <c r="J114" s="177">
        <f>(H114-Z114)/77778</f>
        <v>2.3914217387950321</v>
      </c>
      <c r="K114" s="178">
        <v>36</v>
      </c>
      <c r="L114" s="160">
        <f t="shared" si="21"/>
        <v>6.6428381633195338E-2</v>
      </c>
      <c r="M114" s="156">
        <v>2614000</v>
      </c>
      <c r="N114" s="161">
        <v>2614000</v>
      </c>
      <c r="O114" s="162">
        <v>0</v>
      </c>
      <c r="P114" s="162">
        <v>0</v>
      </c>
      <c r="Q114" s="162">
        <f>+N114+O114+P114</f>
        <v>2614000</v>
      </c>
      <c r="R114" s="183">
        <v>0</v>
      </c>
      <c r="S114" s="183">
        <f>'[1]NOV''25'!R503+O114-W114</f>
        <v>0</v>
      </c>
      <c r="T114" s="183">
        <f>'[1]NOV''25'!S503+P114-X114</f>
        <v>0</v>
      </c>
      <c r="U114" s="162">
        <f>+R114+S114+T114</f>
        <v>0</v>
      </c>
      <c r="V114" s="163">
        <v>0</v>
      </c>
      <c r="W114" s="165">
        <v>0</v>
      </c>
      <c r="X114" s="165">
        <v>0</v>
      </c>
      <c r="Y114" s="162">
        <f>+V114+W114+X114</f>
        <v>0</v>
      </c>
      <c r="Z114" s="166">
        <f t="shared" si="20"/>
        <v>2614000</v>
      </c>
      <c r="AA114" s="186"/>
      <c r="AB114" s="185"/>
    </row>
    <row r="115" spans="1:28" s="55" customFormat="1" outlineLevel="1" x14ac:dyDescent="0.3">
      <c r="B115" s="191">
        <v>1</v>
      </c>
      <c r="C115" s="192"/>
      <c r="D115" s="192"/>
      <c r="E115" s="193">
        <v>45450</v>
      </c>
      <c r="F115" s="192" t="s">
        <v>254</v>
      </c>
      <c r="G115" s="192" t="s">
        <v>84</v>
      </c>
      <c r="H115" s="194">
        <v>8805000</v>
      </c>
      <c r="I115" s="195"/>
      <c r="J115" s="196">
        <f>(H115-Z115)/441667</f>
        <v>18.839419743834156</v>
      </c>
      <c r="K115" s="197">
        <v>24</v>
      </c>
      <c r="L115" s="198">
        <f>J115/K115</f>
        <v>0.78497582265975652</v>
      </c>
      <c r="M115" s="194">
        <v>484250</v>
      </c>
      <c r="N115" s="199">
        <v>484250</v>
      </c>
      <c r="O115" s="200">
        <v>0</v>
      </c>
      <c r="P115" s="200"/>
      <c r="Q115" s="200">
        <f>+N115+O115</f>
        <v>484250</v>
      </c>
      <c r="R115" s="201">
        <f>'[1]NOV''25'!Q108+N115-V115</f>
        <v>1452750</v>
      </c>
      <c r="S115" s="201">
        <f>'[1]NOV''25'!R108+O115-W115</f>
        <v>0</v>
      </c>
      <c r="T115" s="201">
        <f>'[1]NOV''25'!S108+P115-X115</f>
        <v>0</v>
      </c>
      <c r="U115" s="200">
        <f>+R115+S115</f>
        <v>1452750</v>
      </c>
      <c r="V115" s="202">
        <v>0</v>
      </c>
      <c r="W115" s="203">
        <v>0</v>
      </c>
      <c r="X115" s="203">
        <v>0</v>
      </c>
      <c r="Y115" s="200">
        <f t="shared" ref="Y115:Y121" si="22">+V115+W115</f>
        <v>0</v>
      </c>
      <c r="Z115" s="204">
        <f>SUM(M115-V115)</f>
        <v>484250</v>
      </c>
      <c r="AA115" s="53"/>
      <c r="AB115" s="53"/>
    </row>
    <row r="116" spans="1:28" s="55" customFormat="1" outlineLevel="1" x14ac:dyDescent="0.3">
      <c r="B116" s="191">
        <v>2</v>
      </c>
      <c r="C116" s="205" t="s">
        <v>255</v>
      </c>
      <c r="D116" s="192">
        <v>2731004335</v>
      </c>
      <c r="E116" s="193">
        <v>45496</v>
      </c>
      <c r="F116" s="192" t="s">
        <v>256</v>
      </c>
      <c r="G116" s="192" t="s">
        <v>48</v>
      </c>
      <c r="H116" s="194">
        <v>17000000</v>
      </c>
      <c r="I116" s="195"/>
      <c r="J116" s="206">
        <f>(H116-Z116)/N116</f>
        <v>3</v>
      </c>
      <c r="K116" s="197">
        <v>24</v>
      </c>
      <c r="L116" s="198">
        <f t="shared" ref="L116:L121" si="23">J116/K116</f>
        <v>0.125</v>
      </c>
      <c r="M116" s="194">
        <v>14875000</v>
      </c>
      <c r="N116" s="199">
        <f>SUM(H116/K116)</f>
        <v>708333.33333333337</v>
      </c>
      <c r="O116" s="200">
        <f>SUM(H116*2.5/100)</f>
        <v>425000</v>
      </c>
      <c r="P116" s="200"/>
      <c r="Q116" s="200">
        <f>+N116+O116</f>
        <v>1133333.3333333335</v>
      </c>
      <c r="R116" s="201">
        <f>'[1]NOV''25'!Q109+N116-V116</f>
        <v>7791665.6666666633</v>
      </c>
      <c r="S116" s="201">
        <f>'[1]NOV''25'!R109+O116-W116</f>
        <v>5383333.3333333302</v>
      </c>
      <c r="T116" s="201">
        <f>'[1]NOV''25'!S109+P116-X116</f>
        <v>0</v>
      </c>
      <c r="U116" s="199">
        <f>+R116+S116</f>
        <v>13174998.999999993</v>
      </c>
      <c r="V116" s="202">
        <v>0</v>
      </c>
      <c r="W116" s="203">
        <v>0</v>
      </c>
      <c r="X116" s="203">
        <v>0</v>
      </c>
      <c r="Y116" s="200">
        <f t="shared" si="22"/>
        <v>0</v>
      </c>
      <c r="Z116" s="207">
        <f>SUM(M116-V116)</f>
        <v>14875000</v>
      </c>
      <c r="AA116" s="53"/>
      <c r="AB116" s="53"/>
    </row>
    <row r="117" spans="1:28" s="55" customFormat="1" outlineLevel="1" x14ac:dyDescent="0.3">
      <c r="B117" s="191">
        <v>3</v>
      </c>
      <c r="C117" s="205" t="s">
        <v>257</v>
      </c>
      <c r="D117" s="192"/>
      <c r="E117" s="193">
        <v>45496</v>
      </c>
      <c r="F117" s="192" t="s">
        <v>258</v>
      </c>
      <c r="G117" s="192" t="s">
        <v>48</v>
      </c>
      <c r="H117" s="194">
        <v>13000000</v>
      </c>
      <c r="I117" s="195"/>
      <c r="J117" s="206">
        <f>(H117-Z117)/N117</f>
        <v>6.0000018461538467</v>
      </c>
      <c r="K117" s="197">
        <v>24</v>
      </c>
      <c r="L117" s="198">
        <f t="shared" si="23"/>
        <v>0.25000007692307696</v>
      </c>
      <c r="M117" s="194">
        <v>9749999</v>
      </c>
      <c r="N117" s="199">
        <f>SUM(H117/K117)</f>
        <v>541666.66666666663</v>
      </c>
      <c r="O117" s="200">
        <f>SUM(H117*2.5/100)</f>
        <v>325000</v>
      </c>
      <c r="P117" s="200"/>
      <c r="Q117" s="200">
        <f>+N117+O117</f>
        <v>866666.66666666663</v>
      </c>
      <c r="R117" s="201">
        <f>'[1]NOV''25'!Q110+N117-V117</f>
        <v>4875000.3333333367</v>
      </c>
      <c r="S117" s="201">
        <f>'[1]NOV''25'!R110+O117-W117</f>
        <v>2600000</v>
      </c>
      <c r="T117" s="201">
        <f>'[1]NOV''25'!S110+P117-X117</f>
        <v>0</v>
      </c>
      <c r="U117" s="199">
        <f>+R117+S117</f>
        <v>7475000.3333333367</v>
      </c>
      <c r="V117" s="202">
        <v>0</v>
      </c>
      <c r="W117" s="203">
        <v>0</v>
      </c>
      <c r="X117" s="203">
        <v>0</v>
      </c>
      <c r="Y117" s="200">
        <f t="shared" si="22"/>
        <v>0</v>
      </c>
      <c r="Z117" s="207">
        <f>SUM(M117-V117)</f>
        <v>9749999</v>
      </c>
      <c r="AA117" s="53"/>
      <c r="AB117" s="53"/>
    </row>
    <row r="118" spans="1:28" s="55" customFormat="1" outlineLevel="1" x14ac:dyDescent="0.3">
      <c r="B118" s="191">
        <v>4</v>
      </c>
      <c r="C118" s="205" t="s">
        <v>255</v>
      </c>
      <c r="D118" s="192"/>
      <c r="E118" s="208">
        <v>45576</v>
      </c>
      <c r="F118" s="192" t="s">
        <v>259</v>
      </c>
      <c r="G118" s="209" t="s">
        <v>48</v>
      </c>
      <c r="H118" s="194">
        <v>3800000</v>
      </c>
      <c r="I118" s="195"/>
      <c r="J118" s="206">
        <f>(H118-Z118)/N118</f>
        <v>4.4042084210526316</v>
      </c>
      <c r="K118" s="210">
        <v>24</v>
      </c>
      <c r="L118" s="198">
        <f t="shared" si="23"/>
        <v>0.18350868421052632</v>
      </c>
      <c r="M118" s="194">
        <v>3102667</v>
      </c>
      <c r="N118" s="199">
        <f>SUM(H118/K118)</f>
        <v>158333.33333333334</v>
      </c>
      <c r="O118" s="200">
        <f>SUM(H118*2.5/100)</f>
        <v>95000</v>
      </c>
      <c r="P118" s="200"/>
      <c r="Q118" s="200">
        <f>+N118+O118</f>
        <v>253333.33333333334</v>
      </c>
      <c r="R118" s="201">
        <f>'[1]NOV''25'!Q111+N118-V118</f>
        <v>1202666.6666666633</v>
      </c>
      <c r="S118" s="201">
        <f>'[1]NOV''25'!R111+O118-W118</f>
        <v>475000</v>
      </c>
      <c r="T118" s="201">
        <f>'[1]NOV''25'!S111+P118-X118</f>
        <v>0</v>
      </c>
      <c r="U118" s="199">
        <f>+R118+S118</f>
        <v>1677666.6666666633</v>
      </c>
      <c r="V118" s="202">
        <v>0</v>
      </c>
      <c r="W118" s="203">
        <v>0</v>
      </c>
      <c r="X118" s="203">
        <v>0</v>
      </c>
      <c r="Y118" s="200">
        <f t="shared" si="22"/>
        <v>0</v>
      </c>
      <c r="Z118" s="207">
        <f>SUM(M118-V118)</f>
        <v>3102667</v>
      </c>
      <c r="AA118" s="53"/>
      <c r="AB118" s="53"/>
    </row>
    <row r="119" spans="1:28" s="55" customFormat="1" outlineLevel="1" x14ac:dyDescent="0.3">
      <c r="B119" s="191">
        <v>5</v>
      </c>
      <c r="C119" s="211" t="s">
        <v>260</v>
      </c>
      <c r="D119" s="212"/>
      <c r="E119" s="208">
        <v>45693</v>
      </c>
      <c r="F119" s="192" t="s">
        <v>261</v>
      </c>
      <c r="G119" s="209" t="s">
        <v>191</v>
      </c>
      <c r="H119" s="194">
        <v>7170000</v>
      </c>
      <c r="I119" s="195"/>
      <c r="J119" s="206">
        <f>(H119-Z119)/N119</f>
        <v>0</v>
      </c>
      <c r="K119" s="213">
        <v>36</v>
      </c>
      <c r="L119" s="198">
        <f t="shared" si="23"/>
        <v>0</v>
      </c>
      <c r="M119" s="194">
        <v>7170000</v>
      </c>
      <c r="N119" s="199">
        <f>SUM(H119/K119)</f>
        <v>199166.66666666666</v>
      </c>
      <c r="O119" s="200">
        <f>SUM(H119*3/100)</f>
        <v>215100</v>
      </c>
      <c r="P119" s="200"/>
      <c r="Q119" s="200">
        <f>+N119+O119</f>
        <v>414266.66666666663</v>
      </c>
      <c r="R119" s="201">
        <f>'[1]NOV''25'!Q112+N119-V119</f>
        <v>1593333.6666666667</v>
      </c>
      <c r="S119" s="201">
        <f>'[1]NOV''25'!R112+O119-W119</f>
        <v>1505700</v>
      </c>
      <c r="T119" s="201">
        <f>'[1]NOV''25'!S112+P119-X119</f>
        <v>0</v>
      </c>
      <c r="U119" s="199">
        <f>+R119+S119</f>
        <v>3099033.666666667</v>
      </c>
      <c r="V119" s="202">
        <v>0</v>
      </c>
      <c r="W119" s="203">
        <v>0</v>
      </c>
      <c r="X119" s="203">
        <v>0</v>
      </c>
      <c r="Y119" s="200">
        <f t="shared" si="22"/>
        <v>0</v>
      </c>
      <c r="Z119" s="207">
        <f>SUM(M119-V119)</f>
        <v>7170000</v>
      </c>
      <c r="AA119" s="53"/>
      <c r="AB119" s="53"/>
    </row>
    <row r="120" spans="1:28" s="55" customFormat="1" outlineLevel="1" x14ac:dyDescent="0.3">
      <c r="B120" s="191">
        <v>6</v>
      </c>
      <c r="C120" s="214" t="s">
        <v>262</v>
      </c>
      <c r="D120" s="209"/>
      <c r="E120" s="193">
        <v>45485</v>
      </c>
      <c r="F120" s="192" t="s">
        <v>263</v>
      </c>
      <c r="G120" s="192" t="s">
        <v>264</v>
      </c>
      <c r="H120" s="194">
        <v>2900000</v>
      </c>
      <c r="I120" s="195"/>
      <c r="J120" s="206">
        <f t="shared" ref="J120:J121" si="24">(H120-Z120)/N120</f>
        <v>6.9999972413793108</v>
      </c>
      <c r="K120" s="197">
        <v>24</v>
      </c>
      <c r="L120" s="198">
        <f t="shared" si="23"/>
        <v>0.29166655172413797</v>
      </c>
      <c r="M120" s="194">
        <v>2054167</v>
      </c>
      <c r="N120" s="199">
        <f t="shared" ref="N120:N121" si="25">SUM(H120/K120)</f>
        <v>120833.33333333333</v>
      </c>
      <c r="O120" s="200">
        <f t="shared" ref="O120:O121" si="26">SUM(H120*2.5/100)</f>
        <v>72500</v>
      </c>
      <c r="P120" s="200"/>
      <c r="Q120" s="200">
        <f t="shared" ref="Q120:Q121" si="27">+N120+O120</f>
        <v>193333.33333333331</v>
      </c>
      <c r="R120" s="201">
        <f>'[1]NOV''25'!Q113+N120-V120</f>
        <v>966666.33333333337</v>
      </c>
      <c r="S120" s="201">
        <f>'[1]NOV''25'!R113+O120-W120</f>
        <v>507500</v>
      </c>
      <c r="T120" s="201">
        <f>'[1]NOV''25'!S113+P120-X120</f>
        <v>0</v>
      </c>
      <c r="U120" s="199">
        <f t="shared" ref="U120:U121" si="28">+R120+S120</f>
        <v>1474166.3333333335</v>
      </c>
      <c r="V120" s="202">
        <v>0</v>
      </c>
      <c r="W120" s="203">
        <v>0</v>
      </c>
      <c r="X120" s="203">
        <v>0</v>
      </c>
      <c r="Y120" s="200">
        <f t="shared" si="22"/>
        <v>0</v>
      </c>
      <c r="Z120" s="207">
        <f t="shared" ref="Z120:Z121" si="29">SUM(M120-V120)</f>
        <v>2054167</v>
      </c>
      <c r="AA120" s="53"/>
      <c r="AB120" s="53"/>
    </row>
    <row r="121" spans="1:28" s="55" customFormat="1" outlineLevel="1" x14ac:dyDescent="0.3">
      <c r="B121" s="191">
        <v>1</v>
      </c>
      <c r="C121" s="205" t="s">
        <v>265</v>
      </c>
      <c r="D121" s="192"/>
      <c r="E121" s="193">
        <v>45453</v>
      </c>
      <c r="F121" s="192" t="s">
        <v>266</v>
      </c>
      <c r="G121" s="215" t="s">
        <v>84</v>
      </c>
      <c r="H121" s="194">
        <v>4200000</v>
      </c>
      <c r="I121" s="195"/>
      <c r="J121" s="206">
        <f t="shared" si="24"/>
        <v>13</v>
      </c>
      <c r="K121" s="197">
        <v>24</v>
      </c>
      <c r="L121" s="198">
        <f t="shared" si="23"/>
        <v>0.54166666666666663</v>
      </c>
      <c r="M121" s="194">
        <v>1925000</v>
      </c>
      <c r="N121" s="199">
        <f t="shared" si="25"/>
        <v>175000</v>
      </c>
      <c r="O121" s="200">
        <f t="shared" si="26"/>
        <v>105000</v>
      </c>
      <c r="P121" s="200"/>
      <c r="Q121" s="200">
        <f t="shared" si="27"/>
        <v>280000</v>
      </c>
      <c r="R121" s="201">
        <f>'[1]NOV''25'!Q114+N121-V121</f>
        <v>875000</v>
      </c>
      <c r="S121" s="201">
        <f>'[1]NOV''25'!R114+O121-W121</f>
        <v>525000</v>
      </c>
      <c r="T121" s="201">
        <f>'[1]NOV''25'!S114+P121-X121</f>
        <v>0</v>
      </c>
      <c r="U121" s="200">
        <f t="shared" si="28"/>
        <v>1400000</v>
      </c>
      <c r="V121" s="202"/>
      <c r="W121" s="203"/>
      <c r="X121" s="203"/>
      <c r="Y121" s="200">
        <f t="shared" si="22"/>
        <v>0</v>
      </c>
      <c r="Z121" s="204">
        <f t="shared" si="29"/>
        <v>1925000</v>
      </c>
      <c r="AA121" s="53"/>
      <c r="AB121" s="53"/>
    </row>
    <row r="122" spans="1:28" s="55" customFormat="1" outlineLevel="1" x14ac:dyDescent="0.3">
      <c r="B122" s="191">
        <v>4</v>
      </c>
      <c r="C122" s="211" t="s">
        <v>267</v>
      </c>
      <c r="D122" s="212"/>
      <c r="E122" s="208">
        <v>45691</v>
      </c>
      <c r="F122" s="192" t="s">
        <v>268</v>
      </c>
      <c r="G122" s="209" t="s">
        <v>269</v>
      </c>
      <c r="H122" s="194">
        <v>5160000</v>
      </c>
      <c r="I122" s="195"/>
      <c r="J122" s="206">
        <f>(H122-Z122)/N122</f>
        <v>3.9999999999999782</v>
      </c>
      <c r="K122" s="213">
        <v>36</v>
      </c>
      <c r="L122" s="198">
        <f>J122/K122</f>
        <v>0.11111111111111051</v>
      </c>
      <c r="M122" s="194">
        <v>4586666.6666666698</v>
      </c>
      <c r="N122" s="199">
        <f>SUM(H122/K122)</f>
        <v>143333.33333333334</v>
      </c>
      <c r="O122" s="200">
        <f>SUM(H122*3/100)</f>
        <v>154800</v>
      </c>
      <c r="P122" s="200"/>
      <c r="Q122" s="200">
        <f t="shared" ref="Q122:Q123" si="30">+N122+O122</f>
        <v>298133.33333333337</v>
      </c>
      <c r="R122" s="201">
        <f>'[1]NOV''25'!Q116+N122-V122</f>
        <v>860000.00000000035</v>
      </c>
      <c r="S122" s="201">
        <f>'[1]NOV''25'!R116+O122-W122</f>
        <v>456037.22</v>
      </c>
      <c r="T122" s="201">
        <f>'[1]NOV''25'!S116+P122-X122</f>
        <v>0</v>
      </c>
      <c r="U122" s="200">
        <f>+R122+S122</f>
        <v>1316037.2200000002</v>
      </c>
      <c r="V122" s="202">
        <v>0</v>
      </c>
      <c r="W122" s="203">
        <v>118494.78</v>
      </c>
      <c r="X122" s="203">
        <v>0</v>
      </c>
      <c r="Y122" s="200">
        <f>+V122+W122+X122</f>
        <v>118494.78</v>
      </c>
      <c r="Z122" s="207">
        <f>SUM(M122-V122)</f>
        <v>4586666.6666666698</v>
      </c>
      <c r="AA122" s="96" t="s">
        <v>270</v>
      </c>
      <c r="AB122" s="96" t="e">
        <f>#REF!-#REF!</f>
        <v>#REF!</v>
      </c>
    </row>
    <row r="123" spans="1:28" s="55" customFormat="1" outlineLevel="1" x14ac:dyDescent="0.3">
      <c r="B123" s="191">
        <v>2</v>
      </c>
      <c r="C123" s="216" t="s">
        <v>271</v>
      </c>
      <c r="D123" s="216" t="s">
        <v>272</v>
      </c>
      <c r="E123" s="208">
        <v>45426</v>
      </c>
      <c r="F123" s="192" t="s">
        <v>273</v>
      </c>
      <c r="G123" s="192" t="s">
        <v>274</v>
      </c>
      <c r="H123" s="194">
        <v>2574060</v>
      </c>
      <c r="I123" s="195"/>
      <c r="J123" s="206">
        <f>(H123-Z123)/N123</f>
        <v>14</v>
      </c>
      <c r="K123" s="197">
        <v>24</v>
      </c>
      <c r="L123" s="198">
        <f>J123/K123</f>
        <v>0.58333333333333337</v>
      </c>
      <c r="M123" s="194">
        <v>1072525</v>
      </c>
      <c r="N123" s="199">
        <f>SUM(H123/K123)</f>
        <v>107252.5</v>
      </c>
      <c r="O123" s="200">
        <f>SUM(H123*2.5/100)</f>
        <v>64351.5</v>
      </c>
      <c r="P123" s="200"/>
      <c r="Q123" s="200">
        <f t="shared" si="30"/>
        <v>171604</v>
      </c>
      <c r="R123" s="201">
        <f>'[1]NOV''25'!Q120+N123-V123</f>
        <v>536262.5</v>
      </c>
      <c r="S123" s="201">
        <f>'[1]NOV''25'!R120+O123-W123</f>
        <v>316451.5</v>
      </c>
      <c r="T123" s="201">
        <f>'[1]NOV''25'!S120+P123-X123</f>
        <v>0</v>
      </c>
      <c r="U123" s="200">
        <f>+R123+S123</f>
        <v>852714</v>
      </c>
      <c r="V123" s="202"/>
      <c r="W123" s="203"/>
      <c r="X123" s="217"/>
      <c r="Y123" s="200">
        <f>+V123+W123+X123</f>
        <v>0</v>
      </c>
      <c r="Z123" s="204">
        <f>SUM(M123-V123)</f>
        <v>1072525</v>
      </c>
      <c r="AA123" s="96" t="s">
        <v>275</v>
      </c>
      <c r="AB123" s="96" t="e">
        <f>#REF!-#REF!</f>
        <v>#REF!</v>
      </c>
    </row>
    <row r="124" spans="1:28" s="55" customFormat="1" outlineLevel="1" x14ac:dyDescent="0.3">
      <c r="B124" s="191">
        <v>2</v>
      </c>
      <c r="C124" s="211" t="s">
        <v>276</v>
      </c>
      <c r="D124" s="212"/>
      <c r="E124" s="208">
        <v>45537</v>
      </c>
      <c r="F124" s="192" t="s">
        <v>277</v>
      </c>
      <c r="G124" s="218" t="s">
        <v>100</v>
      </c>
      <c r="H124" s="194">
        <v>7350000</v>
      </c>
      <c r="I124" s="195"/>
      <c r="J124" s="206">
        <f>(H124-Z124)/N124</f>
        <v>15</v>
      </c>
      <c r="K124" s="210">
        <v>24</v>
      </c>
      <c r="L124" s="198">
        <f>J124/K124</f>
        <v>0.625</v>
      </c>
      <c r="M124" s="194">
        <v>3062500</v>
      </c>
      <c r="N124" s="199">
        <f>SUM(H124/K124)</f>
        <v>306250</v>
      </c>
      <c r="O124" s="200">
        <f>SUM(H124*2.5/100)</f>
        <v>183750</v>
      </c>
      <c r="P124" s="200"/>
      <c r="Q124" s="200">
        <f>+N124+O124</f>
        <v>490000</v>
      </c>
      <c r="R124" s="201">
        <f>'[1]NOV''25'!Q118+N124-V124</f>
        <v>0</v>
      </c>
      <c r="S124" s="201">
        <f>'[1]NOV''25'!R118+O124-W124</f>
        <v>0</v>
      </c>
      <c r="T124" s="201">
        <f>'[1]NOV''25'!S118+P124-X124</f>
        <v>0</v>
      </c>
      <c r="U124" s="200">
        <f>+R124+S124</f>
        <v>0</v>
      </c>
      <c r="V124" s="202">
        <v>306250</v>
      </c>
      <c r="W124" s="203">
        <v>183750</v>
      </c>
      <c r="X124" s="203"/>
      <c r="Y124" s="200">
        <f>+V124+W124+X124</f>
        <v>490000</v>
      </c>
      <c r="Z124" s="207">
        <f>SUM(M124-V124)</f>
        <v>2756250</v>
      </c>
      <c r="AA124" s="96"/>
      <c r="AB124" s="96" t="e">
        <f>#REF!-#REF!</f>
        <v>#REF!</v>
      </c>
    </row>
    <row r="125" spans="1:28" s="55" customFormat="1" outlineLevel="1" x14ac:dyDescent="0.3">
      <c r="B125" s="191">
        <v>1</v>
      </c>
      <c r="C125" s="192"/>
      <c r="D125" s="192"/>
      <c r="E125" s="193">
        <v>45456</v>
      </c>
      <c r="F125" s="192" t="s">
        <v>278</v>
      </c>
      <c r="G125" s="192" t="s">
        <v>279</v>
      </c>
      <c r="H125" s="194">
        <v>9600000</v>
      </c>
      <c r="I125" s="195"/>
      <c r="J125" s="206">
        <f t="shared" ref="J125:J127" si="31">(H125-Z125)/N125</f>
        <v>15.1622225</v>
      </c>
      <c r="K125" s="197">
        <v>24</v>
      </c>
      <c r="L125" s="198">
        <f t="shared" ref="L125:L127" si="32">J125/K125</f>
        <v>0.63175927083333339</v>
      </c>
      <c r="M125" s="194">
        <v>3657961</v>
      </c>
      <c r="N125" s="199">
        <f t="shared" ref="N125:N127" si="33">SUM(H125/K125)</f>
        <v>400000</v>
      </c>
      <c r="O125" s="200">
        <f t="shared" ref="O125:O127" si="34">SUM(H125*2.5/100)</f>
        <v>240000</v>
      </c>
      <c r="P125" s="200"/>
      <c r="Q125" s="200">
        <f t="shared" ref="Q125:Q127" si="35">+N125+O125</f>
        <v>640000</v>
      </c>
      <c r="R125" s="201">
        <f>'[1]NOV''25'!Q119+N125-V125</f>
        <v>1135111</v>
      </c>
      <c r="S125" s="201">
        <f>'[1]NOV''25'!R119+O125-W125</f>
        <v>240000</v>
      </c>
      <c r="T125" s="201">
        <f>'[1]NOV''25'!S119+P125-X125</f>
        <v>0</v>
      </c>
      <c r="U125" s="200">
        <f t="shared" ref="U125:U127" si="36">+R125+S125</f>
        <v>1375111</v>
      </c>
      <c r="V125" s="202">
        <v>122850</v>
      </c>
      <c r="W125" s="203">
        <v>240000</v>
      </c>
      <c r="X125" s="217"/>
      <c r="Y125" s="200">
        <f t="shared" ref="Y125:Y127" si="37">+V125+W125+X125</f>
        <v>362850</v>
      </c>
      <c r="Z125" s="204">
        <f t="shared" ref="Z125:Z127" si="38">SUM(M125-V125)</f>
        <v>3535111</v>
      </c>
      <c r="AA125" s="96" t="s">
        <v>270</v>
      </c>
      <c r="AB125" s="96" t="e">
        <f>#REF!-#REF!</f>
        <v>#REF!</v>
      </c>
    </row>
    <row r="126" spans="1:28" s="55" customFormat="1" outlineLevel="1" x14ac:dyDescent="0.3">
      <c r="B126" s="191">
        <v>4</v>
      </c>
      <c r="C126" s="192"/>
      <c r="D126" s="192"/>
      <c r="E126" s="219">
        <v>45509</v>
      </c>
      <c r="F126" s="192" t="s">
        <v>280</v>
      </c>
      <c r="G126" s="192" t="s">
        <v>33</v>
      </c>
      <c r="H126" s="194">
        <v>2100000</v>
      </c>
      <c r="I126" s="195"/>
      <c r="J126" s="206">
        <f t="shared" si="31"/>
        <v>11</v>
      </c>
      <c r="K126" s="220">
        <v>24</v>
      </c>
      <c r="L126" s="198">
        <f t="shared" si="32"/>
        <v>0.45833333333333331</v>
      </c>
      <c r="M126" s="194">
        <v>1137500</v>
      </c>
      <c r="N126" s="199">
        <f t="shared" si="33"/>
        <v>87500</v>
      </c>
      <c r="O126" s="200">
        <f t="shared" si="34"/>
        <v>52500</v>
      </c>
      <c r="P126" s="200"/>
      <c r="Q126" s="200">
        <f t="shared" si="35"/>
        <v>140000</v>
      </c>
      <c r="R126" s="201">
        <f>'[1]NOV''25'!Q121+N126-V126</f>
        <v>437500</v>
      </c>
      <c r="S126" s="201">
        <f>'[1]NOV''25'!R121+O126-W126</f>
        <v>165395</v>
      </c>
      <c r="T126" s="201">
        <f>'[1]NOV''25'!S121+P126-X126</f>
        <v>0</v>
      </c>
      <c r="U126" s="200">
        <f t="shared" si="36"/>
        <v>602895</v>
      </c>
      <c r="V126" s="202">
        <v>0</v>
      </c>
      <c r="W126" s="203">
        <v>48539</v>
      </c>
      <c r="X126" s="217"/>
      <c r="Y126" s="200">
        <f t="shared" si="37"/>
        <v>48539</v>
      </c>
      <c r="Z126" s="207">
        <f t="shared" si="38"/>
        <v>1137500</v>
      </c>
      <c r="AA126" s="96" t="s">
        <v>270</v>
      </c>
      <c r="AB126" s="96" t="e">
        <f>#REF!-#REF!</f>
        <v>#REF!</v>
      </c>
    </row>
    <row r="127" spans="1:28" s="55" customFormat="1" outlineLevel="1" x14ac:dyDescent="0.3">
      <c r="B127" s="191">
        <v>5</v>
      </c>
      <c r="C127" s="192"/>
      <c r="D127" s="192"/>
      <c r="E127" s="219">
        <v>45516</v>
      </c>
      <c r="F127" s="192" t="s">
        <v>281</v>
      </c>
      <c r="G127" s="192" t="s">
        <v>282</v>
      </c>
      <c r="H127" s="194">
        <v>9600000</v>
      </c>
      <c r="I127" s="195"/>
      <c r="J127" s="206">
        <f t="shared" si="31"/>
        <v>11.965685000000001</v>
      </c>
      <c r="K127" s="220">
        <v>24</v>
      </c>
      <c r="L127" s="198">
        <f t="shared" si="32"/>
        <v>0.49857020833333338</v>
      </c>
      <c r="M127" s="194">
        <v>4836736</v>
      </c>
      <c r="N127" s="199">
        <f t="shared" si="33"/>
        <v>400000</v>
      </c>
      <c r="O127" s="200">
        <f t="shared" si="34"/>
        <v>240000</v>
      </c>
      <c r="P127" s="200"/>
      <c r="Q127" s="200">
        <f t="shared" si="35"/>
        <v>640000</v>
      </c>
      <c r="R127" s="201">
        <f>'[1]NOV''25'!Q122+N127-V127</f>
        <v>1613726</v>
      </c>
      <c r="S127" s="201">
        <f>'[1]NOV''25'!R122+O127-W127</f>
        <v>0</v>
      </c>
      <c r="T127" s="201">
        <f>'[1]NOV''25'!S122+P127-X127</f>
        <v>0</v>
      </c>
      <c r="U127" s="200">
        <f t="shared" si="36"/>
        <v>1613726</v>
      </c>
      <c r="V127" s="202">
        <v>23010</v>
      </c>
      <c r="W127" s="203">
        <v>240000</v>
      </c>
      <c r="X127" s="217"/>
      <c r="Y127" s="200">
        <f t="shared" si="37"/>
        <v>263010</v>
      </c>
      <c r="Z127" s="207">
        <f t="shared" si="38"/>
        <v>4813726</v>
      </c>
      <c r="AA127" s="96" t="s">
        <v>270</v>
      </c>
      <c r="AB127" s="96" t="e">
        <f>#REF!-#REF!</f>
        <v>#REF!</v>
      </c>
    </row>
    <row r="128" spans="1:28" s="13" customFormat="1" ht="14.55" customHeight="1" outlineLevel="1" x14ac:dyDescent="0.2">
      <c r="B128" s="191">
        <v>1</v>
      </c>
      <c r="C128" s="192"/>
      <c r="D128" s="192"/>
      <c r="E128" s="208">
        <v>45546</v>
      </c>
      <c r="F128" s="192" t="s">
        <v>283</v>
      </c>
      <c r="G128" s="192" t="s">
        <v>284</v>
      </c>
      <c r="H128" s="221">
        <v>14000000</v>
      </c>
      <c r="I128" s="195"/>
      <c r="J128" s="206">
        <f t="shared" ref="J128:J130" si="39">(H128-Z128)/N128</f>
        <v>11.11825828571429</v>
      </c>
      <c r="K128" s="210">
        <v>24</v>
      </c>
      <c r="L128" s="198">
        <f t="shared" ref="L128:L130" si="40">J128/K128</f>
        <v>0.46326076190476212</v>
      </c>
      <c r="M128" s="194">
        <v>7675595.3333333302</v>
      </c>
      <c r="N128" s="199">
        <f t="shared" ref="N128:N130" si="41">SUM(H128/K128)</f>
        <v>583333.33333333337</v>
      </c>
      <c r="O128" s="200">
        <f t="shared" ref="O128:O130" si="42">SUM(H128*2.5/100)</f>
        <v>350000</v>
      </c>
      <c r="P128" s="200"/>
      <c r="Q128" s="200">
        <f t="shared" ref="Q128:Q130" si="43">+N128+O128</f>
        <v>933333.33333333337</v>
      </c>
      <c r="R128" s="201">
        <f>'[1]NOV''25'!Q124+N128-V128</f>
        <v>2264349.6666666633</v>
      </c>
      <c r="S128" s="201">
        <f>'[1]NOV''25'!R124+O128-W128</f>
        <v>350000</v>
      </c>
      <c r="T128" s="201">
        <f>'[1]NOV''25'!S124+P128-X128</f>
        <v>0</v>
      </c>
      <c r="U128" s="200">
        <f t="shared" ref="U128:U130" si="44">+R128+S128</f>
        <v>2614349.6666666633</v>
      </c>
      <c r="V128" s="202">
        <v>161246</v>
      </c>
      <c r="W128" s="203">
        <v>350000</v>
      </c>
      <c r="X128" s="217"/>
      <c r="Y128" s="200">
        <f>+V128+W128+X128</f>
        <v>511246</v>
      </c>
      <c r="Z128" s="207">
        <f t="shared" ref="Z128:Z130" si="45">SUM(M128-V128)</f>
        <v>7514349.3333333302</v>
      </c>
      <c r="AA128" s="96" t="s">
        <v>270</v>
      </c>
      <c r="AB128" s="96" t="e">
        <f>#REF!-#REF!</f>
        <v>#REF!</v>
      </c>
    </row>
    <row r="129" spans="1:28" s="13" customFormat="1" ht="14.55" customHeight="1" outlineLevel="1" x14ac:dyDescent="0.2">
      <c r="B129" s="191">
        <v>2</v>
      </c>
      <c r="C129" s="205" t="s">
        <v>285</v>
      </c>
      <c r="D129" s="192"/>
      <c r="E129" s="208">
        <v>45547</v>
      </c>
      <c r="F129" s="192" t="s">
        <v>286</v>
      </c>
      <c r="G129" s="192" t="s">
        <v>287</v>
      </c>
      <c r="H129" s="221">
        <v>9000000</v>
      </c>
      <c r="I129" s="195"/>
      <c r="J129" s="206">
        <f t="shared" si="39"/>
        <v>14</v>
      </c>
      <c r="K129" s="210">
        <v>24</v>
      </c>
      <c r="L129" s="198">
        <f t="shared" si="40"/>
        <v>0.58333333333333337</v>
      </c>
      <c r="M129" s="194">
        <v>3750000</v>
      </c>
      <c r="N129" s="199">
        <f t="shared" si="41"/>
        <v>375000</v>
      </c>
      <c r="O129" s="200">
        <f t="shared" si="42"/>
        <v>225000</v>
      </c>
      <c r="P129" s="200"/>
      <c r="Q129" s="200">
        <f t="shared" si="43"/>
        <v>600000</v>
      </c>
      <c r="R129" s="201">
        <f>'[1]NOV''25'!Q125+N129-V129</f>
        <v>375000</v>
      </c>
      <c r="S129" s="201">
        <f>'[1]NOV''25'!R125+O129-W129</f>
        <v>225000</v>
      </c>
      <c r="T129" s="201">
        <f>'[1]NOV''25'!S125+P129-X129</f>
        <v>0</v>
      </c>
      <c r="U129" s="200">
        <f t="shared" si="44"/>
        <v>600000</v>
      </c>
      <c r="V129" s="202"/>
      <c r="W129" s="203"/>
      <c r="X129" s="217"/>
      <c r="Y129" s="200">
        <f t="shared" ref="Y129:Y130" si="46">+V129+W129+X129</f>
        <v>0</v>
      </c>
      <c r="Z129" s="207">
        <f t="shared" si="45"/>
        <v>3750000</v>
      </c>
      <c r="AA129" s="96" t="s">
        <v>275</v>
      </c>
      <c r="AB129" s="96" t="e">
        <f>#REF!-#REF!</f>
        <v>#REF!</v>
      </c>
    </row>
    <row r="130" spans="1:28" s="54" customFormat="1" ht="14.55" customHeight="1" outlineLevel="1" x14ac:dyDescent="0.3">
      <c r="B130" s="56">
        <v>3</v>
      </c>
      <c r="C130" s="57"/>
      <c r="D130" s="57"/>
      <c r="E130" s="71">
        <v>45573</v>
      </c>
      <c r="F130" s="57" t="s">
        <v>288</v>
      </c>
      <c r="G130" s="72" t="s">
        <v>117</v>
      </c>
      <c r="H130" s="59">
        <v>2530000</v>
      </c>
      <c r="I130" s="60"/>
      <c r="J130" s="61">
        <f t="shared" si="39"/>
        <v>13</v>
      </c>
      <c r="K130" s="73">
        <v>20</v>
      </c>
      <c r="L130" s="52">
        <f t="shared" si="40"/>
        <v>0.65</v>
      </c>
      <c r="M130" s="59">
        <v>885500</v>
      </c>
      <c r="N130" s="63">
        <f t="shared" si="41"/>
        <v>126500</v>
      </c>
      <c r="O130" s="64">
        <f t="shared" si="42"/>
        <v>63250</v>
      </c>
      <c r="P130" s="64"/>
      <c r="Q130" s="64">
        <f t="shared" si="43"/>
        <v>189750</v>
      </c>
      <c r="R130" s="94">
        <f>'[1]NOV''25'!Q126+N130-V130</f>
        <v>126500</v>
      </c>
      <c r="S130" s="94">
        <f>'[1]NOV''25'!R126+O130-W130</f>
        <v>14056</v>
      </c>
      <c r="T130" s="94">
        <f>'[1]NOV''25'!S126+P130-X130</f>
        <v>0</v>
      </c>
      <c r="U130" s="64">
        <f t="shared" si="44"/>
        <v>140556</v>
      </c>
      <c r="V130" s="65">
        <v>0</v>
      </c>
      <c r="W130" s="66">
        <v>49194</v>
      </c>
      <c r="X130" s="222"/>
      <c r="Y130" s="64">
        <f t="shared" si="46"/>
        <v>49194</v>
      </c>
      <c r="Z130" s="67">
        <f t="shared" si="45"/>
        <v>885500</v>
      </c>
      <c r="AA130" s="98" t="s">
        <v>289</v>
      </c>
      <c r="AB130" s="96" t="e">
        <f>#REF!-#REF!</f>
        <v>#REF!</v>
      </c>
    </row>
    <row r="131" spans="1:28" s="55" customFormat="1" outlineLevel="1" x14ac:dyDescent="0.3">
      <c r="B131" s="191">
        <v>1</v>
      </c>
      <c r="C131" s="223" t="s">
        <v>290</v>
      </c>
      <c r="D131" s="191"/>
      <c r="E131" s="208">
        <v>45433</v>
      </c>
      <c r="F131" s="215" t="s">
        <v>291</v>
      </c>
      <c r="G131" s="215" t="s">
        <v>33</v>
      </c>
      <c r="H131" s="194">
        <v>9720000</v>
      </c>
      <c r="I131" s="195"/>
      <c r="J131" s="206">
        <f t="shared" ref="J131:J140" si="47">(H131-Z131)/N131</f>
        <v>16</v>
      </c>
      <c r="K131" s="197">
        <v>24</v>
      </c>
      <c r="L131" s="198">
        <f t="shared" ref="L131:L140" si="48">J131/K131</f>
        <v>0.66666666666666663</v>
      </c>
      <c r="M131" s="194">
        <v>3240000</v>
      </c>
      <c r="N131" s="199">
        <f>SUM(H131/K131)</f>
        <v>405000</v>
      </c>
      <c r="O131" s="200">
        <f t="shared" ref="O131:O135" si="49">SUM(H131*2.5/100)</f>
        <v>243000</v>
      </c>
      <c r="P131" s="200"/>
      <c r="Q131" s="200">
        <f t="shared" ref="Q131:Q135" si="50">+N131+O131</f>
        <v>648000</v>
      </c>
      <c r="R131" s="201">
        <f>'[1]NOV''25'!Q128+N131-V131</f>
        <v>1215000</v>
      </c>
      <c r="S131" s="201">
        <f>'[1]NOV''25'!R128+O131-W131</f>
        <v>729000</v>
      </c>
      <c r="T131" s="201">
        <f>'[1]NOV''25'!S128+P131-X131</f>
        <v>0</v>
      </c>
      <c r="U131" s="199">
        <f t="shared" ref="U131:U135" si="51">+R131+S131</f>
        <v>1944000</v>
      </c>
      <c r="V131" s="202"/>
      <c r="W131" s="203"/>
      <c r="X131" s="203"/>
      <c r="Y131" s="200">
        <f>+V131+W131+X131</f>
        <v>0</v>
      </c>
      <c r="Z131" s="207">
        <f t="shared" ref="Z131:Z132" si="52">SUM(M131-V131)</f>
        <v>3240000</v>
      </c>
      <c r="AA131" s="96" t="s">
        <v>275</v>
      </c>
      <c r="AB131" s="96" t="e">
        <f>#REF!-#REF!</f>
        <v>#REF!</v>
      </c>
    </row>
    <row r="132" spans="1:28" s="55" customFormat="1" outlineLevel="1" x14ac:dyDescent="0.3">
      <c r="B132" s="191">
        <v>2</v>
      </c>
      <c r="C132" s="192"/>
      <c r="D132" s="192"/>
      <c r="E132" s="193">
        <v>45488</v>
      </c>
      <c r="F132" s="192" t="s">
        <v>292</v>
      </c>
      <c r="G132" s="192" t="s">
        <v>48</v>
      </c>
      <c r="H132" s="194">
        <v>1900000</v>
      </c>
      <c r="I132" s="224"/>
      <c r="J132" s="225">
        <f t="shared" si="47"/>
        <v>13.000004210526315</v>
      </c>
      <c r="K132" s="197">
        <v>24</v>
      </c>
      <c r="L132" s="198">
        <f t="shared" si="48"/>
        <v>0.54166684210526317</v>
      </c>
      <c r="M132" s="194">
        <v>870833</v>
      </c>
      <c r="N132" s="199">
        <f t="shared" ref="N132:N140" si="53">SUM(H132/K132)</f>
        <v>79166.666666666672</v>
      </c>
      <c r="O132" s="226">
        <f t="shared" si="49"/>
        <v>47500</v>
      </c>
      <c r="P132" s="226"/>
      <c r="Q132" s="226">
        <f t="shared" si="50"/>
        <v>126666.66666666667</v>
      </c>
      <c r="R132" s="201">
        <f>'[1]NOV''25'!Q129+N132-V132</f>
        <v>316666.66666666669</v>
      </c>
      <c r="S132" s="201">
        <f>'[1]NOV''25'!R129+O132-W132</f>
        <v>184639</v>
      </c>
      <c r="T132" s="201">
        <f>'[1]NOV''25'!S129+P132-X132</f>
        <v>0</v>
      </c>
      <c r="U132" s="226">
        <f t="shared" si="51"/>
        <v>501305.66666666669</v>
      </c>
      <c r="V132" s="202"/>
      <c r="W132" s="203"/>
      <c r="X132" s="203"/>
      <c r="Y132" s="200">
        <f t="shared" ref="Y132:Y140" si="54">+V132+W132+X132</f>
        <v>0</v>
      </c>
      <c r="Z132" s="207">
        <f t="shared" si="52"/>
        <v>870833</v>
      </c>
      <c r="AA132" s="96" t="s">
        <v>293</v>
      </c>
      <c r="AB132" s="96" t="e">
        <f>#REF!-#REF!</f>
        <v>#REF!</v>
      </c>
    </row>
    <row r="133" spans="1:28" s="55" customFormat="1" outlineLevel="1" x14ac:dyDescent="0.3">
      <c r="B133" s="191">
        <v>3</v>
      </c>
      <c r="C133" s="192"/>
      <c r="D133" s="192"/>
      <c r="E133" s="219">
        <v>45506</v>
      </c>
      <c r="F133" s="192" t="s">
        <v>294</v>
      </c>
      <c r="G133" s="192" t="s">
        <v>33</v>
      </c>
      <c r="H133" s="194">
        <v>1500000</v>
      </c>
      <c r="I133" s="224"/>
      <c r="J133" s="225">
        <f t="shared" si="47"/>
        <v>16</v>
      </c>
      <c r="K133" s="220">
        <v>24</v>
      </c>
      <c r="L133" s="198">
        <f t="shared" si="48"/>
        <v>0.66666666666666663</v>
      </c>
      <c r="M133" s="194">
        <v>562500</v>
      </c>
      <c r="N133" s="199">
        <f t="shared" si="53"/>
        <v>62500</v>
      </c>
      <c r="O133" s="226">
        <f t="shared" si="49"/>
        <v>37500</v>
      </c>
      <c r="P133" s="226"/>
      <c r="Q133" s="226">
        <f t="shared" si="50"/>
        <v>100000</v>
      </c>
      <c r="R133" s="201">
        <f>'[1]NOV''25'!Q130+N133-V133</f>
        <v>0</v>
      </c>
      <c r="S133" s="201">
        <f>'[1]NOV''25'!R130+O133-W133</f>
        <v>0</v>
      </c>
      <c r="T133" s="201">
        <f>'[1]NOV''25'!S130+P133-X133</f>
        <v>0</v>
      </c>
      <c r="U133" s="226">
        <f t="shared" si="51"/>
        <v>0</v>
      </c>
      <c r="V133" s="202">
        <v>62500</v>
      </c>
      <c r="W133" s="203">
        <v>37500</v>
      </c>
      <c r="X133" s="203"/>
      <c r="Y133" s="200">
        <f t="shared" si="54"/>
        <v>100000</v>
      </c>
      <c r="Z133" s="207">
        <f t="shared" ref="Z133:Z140" si="55">SUM(M133-V133)</f>
        <v>500000</v>
      </c>
      <c r="AA133" s="96"/>
      <c r="AB133" s="96" t="e">
        <f>#REF!-#REF!</f>
        <v>#REF!</v>
      </c>
    </row>
    <row r="134" spans="1:28" s="55" customFormat="1" outlineLevel="1" x14ac:dyDescent="0.3">
      <c r="B134" s="191">
        <v>4</v>
      </c>
      <c r="C134" s="192"/>
      <c r="D134" s="192"/>
      <c r="E134" s="219">
        <v>45516</v>
      </c>
      <c r="F134" s="192" t="s">
        <v>295</v>
      </c>
      <c r="G134" s="192" t="s">
        <v>100</v>
      </c>
      <c r="H134" s="194">
        <v>9600000</v>
      </c>
      <c r="I134" s="224"/>
      <c r="J134" s="225">
        <f t="shared" si="47"/>
        <v>16</v>
      </c>
      <c r="K134" s="220">
        <v>24</v>
      </c>
      <c r="L134" s="198">
        <f t="shared" si="48"/>
        <v>0.66666666666666663</v>
      </c>
      <c r="M134" s="194">
        <v>3984000</v>
      </c>
      <c r="N134" s="199">
        <f t="shared" si="53"/>
        <v>400000</v>
      </c>
      <c r="O134" s="226">
        <f t="shared" si="49"/>
        <v>240000</v>
      </c>
      <c r="P134" s="226"/>
      <c r="Q134" s="226">
        <f t="shared" si="50"/>
        <v>640000</v>
      </c>
      <c r="R134" s="201">
        <f>'[1]NOV''25'!Q131+N134-V134</f>
        <v>0</v>
      </c>
      <c r="S134" s="201">
        <f>'[1]NOV''25'!R131+O134-W134</f>
        <v>0</v>
      </c>
      <c r="T134" s="201">
        <f>'[1]NOV''25'!S131+P134-X134</f>
        <v>0</v>
      </c>
      <c r="U134" s="226">
        <f t="shared" si="51"/>
        <v>0</v>
      </c>
      <c r="V134" s="202">
        <f>400000+384000</f>
        <v>784000</v>
      </c>
      <c r="W134" s="203">
        <v>240000</v>
      </c>
      <c r="X134" s="203"/>
      <c r="Y134" s="200">
        <f t="shared" si="54"/>
        <v>1024000</v>
      </c>
      <c r="Z134" s="207">
        <f t="shared" si="55"/>
        <v>3200000</v>
      </c>
      <c r="AA134" s="96" t="s">
        <v>275</v>
      </c>
      <c r="AB134" s="96" t="e">
        <f>#REF!-#REF!</f>
        <v>#REF!</v>
      </c>
    </row>
    <row r="135" spans="1:28" s="55" customFormat="1" outlineLevel="1" x14ac:dyDescent="0.3">
      <c r="B135" s="191">
        <v>5</v>
      </c>
      <c r="C135" s="192"/>
      <c r="D135" s="192"/>
      <c r="E135" s="208">
        <v>45582</v>
      </c>
      <c r="F135" s="192" t="s">
        <v>296</v>
      </c>
      <c r="G135" s="209" t="s">
        <v>191</v>
      </c>
      <c r="H135" s="194">
        <v>5000000</v>
      </c>
      <c r="I135" s="224"/>
      <c r="J135" s="225">
        <f t="shared" si="47"/>
        <v>11.000003199999998</v>
      </c>
      <c r="K135" s="210">
        <v>24</v>
      </c>
      <c r="L135" s="198">
        <f t="shared" si="48"/>
        <v>0.45833346666666658</v>
      </c>
      <c r="M135" s="194">
        <v>2916666</v>
      </c>
      <c r="N135" s="199">
        <f t="shared" si="53"/>
        <v>208333.33333333334</v>
      </c>
      <c r="O135" s="200">
        <f t="shared" si="49"/>
        <v>125000</v>
      </c>
      <c r="P135" s="200"/>
      <c r="Q135" s="200">
        <f t="shared" si="50"/>
        <v>333333.33333333337</v>
      </c>
      <c r="R135" s="201">
        <f>'[1]NOV''25'!Q132+N135-V135</f>
        <v>625000.00000000035</v>
      </c>
      <c r="S135" s="201">
        <f>'[1]NOV''25'!R132+O135-W135</f>
        <v>375000</v>
      </c>
      <c r="T135" s="201">
        <f>'[1]NOV''25'!S132+P135-X135</f>
        <v>0</v>
      </c>
      <c r="U135" s="200">
        <f t="shared" si="51"/>
        <v>1000000.0000000003</v>
      </c>
      <c r="V135" s="202">
        <v>208333.33333333299</v>
      </c>
      <c r="W135" s="203">
        <v>125000</v>
      </c>
      <c r="X135" s="203"/>
      <c r="Y135" s="200">
        <f t="shared" si="54"/>
        <v>333333.33333333302</v>
      </c>
      <c r="Z135" s="207">
        <f t="shared" si="55"/>
        <v>2708332.666666667</v>
      </c>
      <c r="AA135" s="96"/>
      <c r="AB135" s="96" t="e">
        <f>#REF!-#REF!</f>
        <v>#REF!</v>
      </c>
    </row>
    <row r="136" spans="1:28" s="190" customFormat="1" outlineLevel="1" x14ac:dyDescent="0.3">
      <c r="A136" s="55"/>
      <c r="B136" s="191">
        <v>6</v>
      </c>
      <c r="C136" s="227" t="s">
        <v>297</v>
      </c>
      <c r="D136" s="228"/>
      <c r="E136" s="229">
        <v>45832</v>
      </c>
      <c r="F136" s="228" t="s">
        <v>182</v>
      </c>
      <c r="G136" s="230" t="s">
        <v>298</v>
      </c>
      <c r="H136" s="231">
        <v>12000000</v>
      </c>
      <c r="I136" s="232">
        <v>2.5000000000000001E-2</v>
      </c>
      <c r="J136" s="206">
        <f t="shared" si="47"/>
        <v>6</v>
      </c>
      <c r="K136" s="233">
        <v>12</v>
      </c>
      <c r="L136" s="189">
        <f t="shared" si="48"/>
        <v>0.5</v>
      </c>
      <c r="M136" s="194">
        <v>7000000</v>
      </c>
      <c r="N136" s="234">
        <f t="shared" si="53"/>
        <v>1000000</v>
      </c>
      <c r="O136" s="235">
        <f>SUM(H136*I136)</f>
        <v>300000</v>
      </c>
      <c r="P136" s="235">
        <v>10000</v>
      </c>
      <c r="Q136" s="235">
        <f>+N136+O136+P136</f>
        <v>1310000</v>
      </c>
      <c r="R136" s="201">
        <f>'[1]NOV''25'!Q133+N136-V136</f>
        <v>0</v>
      </c>
      <c r="S136" s="201">
        <f>'[1]NOV''25'!R133+O136-W136</f>
        <v>0</v>
      </c>
      <c r="T136" s="201">
        <f>'[1]NOV''25'!S133+P136-X136</f>
        <v>0</v>
      </c>
      <c r="U136" s="200">
        <f>+R136+S136+T136</f>
        <v>0</v>
      </c>
      <c r="V136" s="236">
        <v>1000000</v>
      </c>
      <c r="W136" s="237">
        <v>300000</v>
      </c>
      <c r="X136" s="237">
        <v>10000</v>
      </c>
      <c r="Y136" s="200">
        <f t="shared" si="54"/>
        <v>1310000</v>
      </c>
      <c r="Z136" s="238">
        <f t="shared" si="55"/>
        <v>6000000</v>
      </c>
      <c r="AA136" s="96"/>
      <c r="AB136" s="96" t="e">
        <f>#REF!-#REF!</f>
        <v>#REF!</v>
      </c>
    </row>
    <row r="137" spans="1:28" s="190" customFormat="1" outlineLevel="1" x14ac:dyDescent="0.3">
      <c r="A137" s="55"/>
      <c r="B137" s="191">
        <v>7</v>
      </c>
      <c r="C137" s="227" t="s">
        <v>299</v>
      </c>
      <c r="D137" s="228"/>
      <c r="E137" s="229">
        <v>45839</v>
      </c>
      <c r="F137" s="228" t="s">
        <v>184</v>
      </c>
      <c r="G137" s="230" t="s">
        <v>298</v>
      </c>
      <c r="H137" s="231">
        <v>7759000</v>
      </c>
      <c r="I137" s="232">
        <v>2.5000000000000001E-2</v>
      </c>
      <c r="J137" s="206">
        <f t="shared" si="47"/>
        <v>4.0000020621214265</v>
      </c>
      <c r="K137" s="233">
        <v>36</v>
      </c>
      <c r="L137" s="189">
        <f t="shared" si="48"/>
        <v>0.11111116839226184</v>
      </c>
      <c r="M137" s="194">
        <v>6896888.4444444403</v>
      </c>
      <c r="N137" s="234">
        <f t="shared" si="53"/>
        <v>215527.77777777778</v>
      </c>
      <c r="O137" s="235">
        <f>SUM(H137*I137)</f>
        <v>193975</v>
      </c>
      <c r="P137" s="235">
        <v>10000</v>
      </c>
      <c r="Q137" s="235">
        <f>+N137+O137+P137</f>
        <v>419502.77777777775</v>
      </c>
      <c r="R137" s="201">
        <f>'[1]NOV''25'!Q134+N137-V137</f>
        <v>215527.33333333334</v>
      </c>
      <c r="S137" s="201">
        <f>'[1]NOV''25'!R134+O137-W137</f>
        <v>193975</v>
      </c>
      <c r="T137" s="201">
        <f>'[1]NOV''25'!S134+P137-X137</f>
        <v>10000</v>
      </c>
      <c r="U137" s="200">
        <f t="shared" ref="U137:U198" si="56">+R137+S137+T137</f>
        <v>419502.33333333337</v>
      </c>
      <c r="V137" s="236"/>
      <c r="W137" s="237"/>
      <c r="X137" s="237"/>
      <c r="Y137" s="200">
        <f t="shared" si="54"/>
        <v>0</v>
      </c>
      <c r="Z137" s="238">
        <f t="shared" si="55"/>
        <v>6896888.4444444403</v>
      </c>
      <c r="AA137" s="96" t="s">
        <v>300</v>
      </c>
      <c r="AB137" s="96" t="e">
        <f>#REF!-#REF!</f>
        <v>#REF!</v>
      </c>
    </row>
    <row r="138" spans="1:28" s="55" customFormat="1" outlineLevel="1" x14ac:dyDescent="0.3">
      <c r="B138" s="191">
        <v>8</v>
      </c>
      <c r="C138" s="205" t="s">
        <v>301</v>
      </c>
      <c r="D138" s="192"/>
      <c r="E138" s="208">
        <v>45854</v>
      </c>
      <c r="F138" s="192" t="s">
        <v>302</v>
      </c>
      <c r="G138" s="209" t="s">
        <v>303</v>
      </c>
      <c r="H138" s="194">
        <v>7250000</v>
      </c>
      <c r="I138" s="224">
        <v>2.5000000000000001E-2</v>
      </c>
      <c r="J138" s="206">
        <f t="shared" si="47"/>
        <v>3.0000000000000155</v>
      </c>
      <c r="K138" s="213">
        <v>36</v>
      </c>
      <c r="L138" s="198">
        <f t="shared" si="48"/>
        <v>8.3333333333333759E-2</v>
      </c>
      <c r="M138" s="194">
        <v>6645833.3333333302</v>
      </c>
      <c r="N138" s="199">
        <f t="shared" si="53"/>
        <v>201388.88888888888</v>
      </c>
      <c r="O138" s="200">
        <f>SUM(H138*I138)</f>
        <v>181250</v>
      </c>
      <c r="P138" s="200">
        <v>10000</v>
      </c>
      <c r="Q138" s="200">
        <f>+N138+O138+P138</f>
        <v>392638.88888888888</v>
      </c>
      <c r="R138" s="201">
        <f>'[1]NOV''25'!Q135+N138-V138</f>
        <v>402777.77777777787</v>
      </c>
      <c r="S138" s="201">
        <f>'[1]NOV''25'!R135+O138-W138</f>
        <v>239366</v>
      </c>
      <c r="T138" s="201">
        <f>'[1]NOV''25'!S135+P138-X138</f>
        <v>10000</v>
      </c>
      <c r="U138" s="200">
        <f t="shared" si="56"/>
        <v>652143.77777777787</v>
      </c>
      <c r="V138" s="202"/>
      <c r="W138" s="203"/>
      <c r="X138" s="203"/>
      <c r="Y138" s="200">
        <f t="shared" si="54"/>
        <v>0</v>
      </c>
      <c r="Z138" s="207">
        <f t="shared" si="55"/>
        <v>6645833.3333333302</v>
      </c>
      <c r="AA138" s="96" t="s">
        <v>300</v>
      </c>
      <c r="AB138" s="96" t="e">
        <f>#REF!-#REF!</f>
        <v>#REF!</v>
      </c>
    </row>
    <row r="139" spans="1:28" s="55" customFormat="1" outlineLevel="1" x14ac:dyDescent="0.3">
      <c r="B139" s="191">
        <v>9</v>
      </c>
      <c r="C139" s="205" t="s">
        <v>304</v>
      </c>
      <c r="D139" s="192"/>
      <c r="E139" s="208">
        <v>45874</v>
      </c>
      <c r="F139" s="192" t="s">
        <v>305</v>
      </c>
      <c r="G139" s="209" t="s">
        <v>298</v>
      </c>
      <c r="H139" s="194">
        <v>5800000</v>
      </c>
      <c r="I139" s="224">
        <v>2.5000000000000001E-2</v>
      </c>
      <c r="J139" s="206">
        <f t="shared" si="47"/>
        <v>2.1597993103448276</v>
      </c>
      <c r="K139" s="213">
        <v>12</v>
      </c>
      <c r="L139" s="198">
        <f t="shared" si="48"/>
        <v>0.17998327586206897</v>
      </c>
      <c r="M139" s="194">
        <v>5800000</v>
      </c>
      <c r="N139" s="199">
        <f t="shared" si="53"/>
        <v>483333.33333333331</v>
      </c>
      <c r="O139" s="200">
        <f>SUM(H139*I139)</f>
        <v>145000</v>
      </c>
      <c r="P139" s="200">
        <v>10000</v>
      </c>
      <c r="Q139" s="200">
        <f>+N139+O139+P139</f>
        <v>638333.33333333326</v>
      </c>
      <c r="R139" s="201">
        <f>'[1]NOV''25'!Q136+N139-V139</f>
        <v>889430.33333333326</v>
      </c>
      <c r="S139" s="201">
        <f>'[1]NOV''25'!R136+O139-W139</f>
        <v>0</v>
      </c>
      <c r="T139" s="201">
        <f>'[1]NOV''25'!S136+P139-X139</f>
        <v>0</v>
      </c>
      <c r="U139" s="200">
        <f t="shared" si="56"/>
        <v>889430.33333333326</v>
      </c>
      <c r="V139" s="202">
        <f>483333+560570</f>
        <v>1043903</v>
      </c>
      <c r="W139" s="203">
        <f>145000+435000</f>
        <v>580000</v>
      </c>
      <c r="X139" s="203">
        <f>10000+30000</f>
        <v>40000</v>
      </c>
      <c r="Y139" s="200">
        <f t="shared" si="54"/>
        <v>1663903</v>
      </c>
      <c r="Z139" s="207">
        <f t="shared" si="55"/>
        <v>4756097</v>
      </c>
      <c r="AA139" s="96"/>
      <c r="AB139" s="96" t="e">
        <f>#REF!-#REF!</f>
        <v>#REF!</v>
      </c>
    </row>
    <row r="140" spans="1:28" s="55" customFormat="1" outlineLevel="1" x14ac:dyDescent="0.3">
      <c r="B140" s="191">
        <v>10</v>
      </c>
      <c r="C140" s="192"/>
      <c r="D140" s="192"/>
      <c r="E140" s="193">
        <v>45450</v>
      </c>
      <c r="F140" s="192" t="s">
        <v>306</v>
      </c>
      <c r="G140" s="192" t="s">
        <v>264</v>
      </c>
      <c r="H140" s="194">
        <v>3600000</v>
      </c>
      <c r="I140" s="195"/>
      <c r="J140" s="206">
        <f t="shared" si="47"/>
        <v>17.000879999999999</v>
      </c>
      <c r="K140" s="197">
        <v>24</v>
      </c>
      <c r="L140" s="198">
        <f t="shared" si="48"/>
        <v>0.70836999999999994</v>
      </c>
      <c r="M140" s="194">
        <v>1050000</v>
      </c>
      <c r="N140" s="199">
        <f t="shared" si="53"/>
        <v>150000</v>
      </c>
      <c r="O140" s="200">
        <f>SUM(H140*2.5/100)</f>
        <v>90000</v>
      </c>
      <c r="P140" s="200"/>
      <c r="Q140" s="200">
        <f>+N140+O140</f>
        <v>240000</v>
      </c>
      <c r="R140" s="201">
        <f>'[1]NOV''25'!Q137+N140-V140</f>
        <v>149868</v>
      </c>
      <c r="S140" s="201">
        <f>'[1]NOV''25'!R137+O140-W140</f>
        <v>0</v>
      </c>
      <c r="T140" s="201">
        <f>'[1]NOV''25'!S137+P140-X140</f>
        <v>0</v>
      </c>
      <c r="U140" s="200">
        <f t="shared" si="56"/>
        <v>149868</v>
      </c>
      <c r="V140" s="202">
        <v>132</v>
      </c>
      <c r="W140" s="203">
        <v>90000</v>
      </c>
      <c r="X140" s="217"/>
      <c r="Y140" s="200">
        <f t="shared" si="54"/>
        <v>90132</v>
      </c>
      <c r="Z140" s="204">
        <f t="shared" si="55"/>
        <v>1049868</v>
      </c>
      <c r="AA140" s="96"/>
      <c r="AB140" s="96" t="e">
        <f>#REF!-#REF!</f>
        <v>#REF!</v>
      </c>
    </row>
    <row r="141" spans="1:28" s="55" customFormat="1" outlineLevel="1" x14ac:dyDescent="0.3">
      <c r="B141" s="191">
        <v>1</v>
      </c>
      <c r="C141" s="192"/>
      <c r="D141" s="192"/>
      <c r="E141" s="193">
        <v>45492</v>
      </c>
      <c r="F141" s="192" t="s">
        <v>307</v>
      </c>
      <c r="G141" s="192" t="s">
        <v>84</v>
      </c>
      <c r="H141" s="194">
        <f>7050000-293750</f>
        <v>6756250</v>
      </c>
      <c r="I141" s="224"/>
      <c r="J141" s="239">
        <f t="shared" ref="J141:J146" si="57">(H141-Z141)/N141</f>
        <v>16.000000888066602</v>
      </c>
      <c r="K141" s="197">
        <v>48</v>
      </c>
      <c r="L141" s="198">
        <f>J141/K141</f>
        <v>0.33333335183472085</v>
      </c>
      <c r="M141" s="194">
        <v>4644921.75</v>
      </c>
      <c r="N141" s="199">
        <f t="shared" ref="N141:N146" si="58">SUM(H141/K141)</f>
        <v>140755.20833333334</v>
      </c>
      <c r="O141" s="200">
        <f>SUM(H141*1.246919/100)</f>
        <v>84244.964937500001</v>
      </c>
      <c r="P141" s="200"/>
      <c r="Q141" s="200">
        <f>+N141+O141+P141</f>
        <v>225000.17327083333</v>
      </c>
      <c r="R141" s="201">
        <f>'[1]NOV''25'!Q139+N141-V141</f>
        <v>3.4924596548080444E-10</v>
      </c>
      <c r="S141" s="201">
        <f>'[1]NOV''25'!R139+O141-W141</f>
        <v>0</v>
      </c>
      <c r="T141" s="201">
        <f>'[1]NOV''25'!S139+P141-X141</f>
        <v>0</v>
      </c>
      <c r="U141" s="200">
        <f t="shared" si="56"/>
        <v>3.4924596548080444E-10</v>
      </c>
      <c r="V141" s="202">
        <v>140755.20833333299</v>
      </c>
      <c r="W141" s="203">
        <v>84244.964937500001</v>
      </c>
      <c r="X141" s="217"/>
      <c r="Y141" s="200">
        <f>+V141+W141+X141</f>
        <v>225000.17327083298</v>
      </c>
      <c r="Z141" s="207">
        <f t="shared" ref="Z141:Z146" si="59">SUM(M141-V141)</f>
        <v>4504166.541666667</v>
      </c>
      <c r="AA141" s="96"/>
      <c r="AB141" s="96" t="e">
        <f>#REF!-#REF!</f>
        <v>#REF!</v>
      </c>
    </row>
    <row r="142" spans="1:28" s="55" customFormat="1" outlineLevel="1" x14ac:dyDescent="0.3">
      <c r="B142" s="191">
        <v>2</v>
      </c>
      <c r="C142" s="192"/>
      <c r="D142" s="192"/>
      <c r="E142" s="208">
        <v>45581</v>
      </c>
      <c r="F142" s="192" t="s">
        <v>308</v>
      </c>
      <c r="G142" s="192" t="s">
        <v>48</v>
      </c>
      <c r="H142" s="194">
        <v>10911718</v>
      </c>
      <c r="I142" s="224"/>
      <c r="J142" s="239">
        <f t="shared" si="57"/>
        <v>12.821362135641687</v>
      </c>
      <c r="K142" s="210">
        <v>48</v>
      </c>
      <c r="L142" s="198">
        <f t="shared" ref="L142:L204" si="60">J142/K142</f>
        <v>0.26711171115920179</v>
      </c>
      <c r="M142" s="194">
        <v>8224397.7916666698</v>
      </c>
      <c r="N142" s="199">
        <f t="shared" si="58"/>
        <v>227327.45833333334</v>
      </c>
      <c r="O142" s="200">
        <f>SUM(H142*2.5/100)</f>
        <v>272792.95</v>
      </c>
      <c r="P142" s="200"/>
      <c r="Q142" s="200">
        <f t="shared" ref="Q142:Q146" si="61">+N142+O142+P142</f>
        <v>500120.40833333333</v>
      </c>
      <c r="R142" s="201">
        <f>'[1]NOV''25'!Q140+N142-V142</f>
        <v>1.1059455573558807E-9</v>
      </c>
      <c r="S142" s="201">
        <f>'[1]NOV''25'!R140+O142-W142</f>
        <v>-4.9999999988358468E-2</v>
      </c>
      <c r="T142" s="201">
        <f>'[1]NOV''25'!S140+P142-X142</f>
        <v>0</v>
      </c>
      <c r="U142" s="200">
        <f t="shared" si="56"/>
        <v>-4.999999888241291E-2</v>
      </c>
      <c r="V142" s="202">
        <v>227327.45833333299</v>
      </c>
      <c r="W142" s="203">
        <v>272792.95</v>
      </c>
      <c r="X142" s="217"/>
      <c r="Y142" s="200">
        <f t="shared" ref="Y142:Y146" si="62">+V142+W142+X142</f>
        <v>500120.40833333298</v>
      </c>
      <c r="Z142" s="207">
        <f t="shared" si="59"/>
        <v>7997070.3333333367</v>
      </c>
      <c r="AA142" s="96"/>
      <c r="AB142" s="96" t="e">
        <f>#REF!-#REF!</f>
        <v>#REF!</v>
      </c>
    </row>
    <row r="143" spans="1:28" s="55" customFormat="1" outlineLevel="1" x14ac:dyDescent="0.3">
      <c r="B143" s="191">
        <v>3</v>
      </c>
      <c r="C143" s="192"/>
      <c r="D143" s="192"/>
      <c r="E143" s="219">
        <v>45510</v>
      </c>
      <c r="F143" s="192" t="s">
        <v>309</v>
      </c>
      <c r="G143" s="192" t="s">
        <v>163</v>
      </c>
      <c r="H143" s="194">
        <v>19816905</v>
      </c>
      <c r="I143" s="224"/>
      <c r="J143" s="239">
        <f t="shared" si="57"/>
        <v>12.0000009083154</v>
      </c>
      <c r="K143" s="220">
        <v>36</v>
      </c>
      <c r="L143" s="198">
        <f t="shared" si="60"/>
        <v>0.33333335856431667</v>
      </c>
      <c r="M143" s="194">
        <v>13761739.5</v>
      </c>
      <c r="N143" s="199">
        <f t="shared" si="58"/>
        <v>550469.58333333337</v>
      </c>
      <c r="O143" s="200">
        <f>SUM(H143*2.5/100)-1</f>
        <v>495421.625</v>
      </c>
      <c r="P143" s="200"/>
      <c r="Q143" s="200">
        <f t="shared" si="61"/>
        <v>1045891.2083333334</v>
      </c>
      <c r="R143" s="201">
        <f>'[1]NOV''25'!Q141+N143-V143</f>
        <v>-0.41666666662786156</v>
      </c>
      <c r="S143" s="201">
        <f>'[1]NOV''25'!R141+O143-W143</f>
        <v>-0.75</v>
      </c>
      <c r="T143" s="201">
        <f>'[1]NOV''25'!S141+P143-X143</f>
        <v>0</v>
      </c>
      <c r="U143" s="200">
        <f t="shared" si="56"/>
        <v>-1.1666666666278616</v>
      </c>
      <c r="V143" s="202">
        <v>550470</v>
      </c>
      <c r="W143" s="203">
        <v>495422</v>
      </c>
      <c r="X143" s="217"/>
      <c r="Y143" s="200">
        <f t="shared" si="62"/>
        <v>1045892</v>
      </c>
      <c r="Z143" s="207">
        <f t="shared" si="59"/>
        <v>13211269.5</v>
      </c>
      <c r="AA143" s="96"/>
      <c r="AB143" s="96" t="e">
        <f>#REF!-#REF!</f>
        <v>#REF!</v>
      </c>
    </row>
    <row r="144" spans="1:28" s="55" customFormat="1" outlineLevel="1" x14ac:dyDescent="0.3">
      <c r="B144" s="191">
        <v>4</v>
      </c>
      <c r="C144" s="192"/>
      <c r="D144" s="192"/>
      <c r="E144" s="193">
        <v>45488</v>
      </c>
      <c r="F144" s="192" t="s">
        <v>310</v>
      </c>
      <c r="G144" s="192" t="s">
        <v>48</v>
      </c>
      <c r="H144" s="194">
        <v>15064968</v>
      </c>
      <c r="I144" s="224"/>
      <c r="J144" s="239">
        <f t="shared" si="57"/>
        <v>8.000000398274878</v>
      </c>
      <c r="K144" s="197">
        <v>54</v>
      </c>
      <c r="L144" s="198">
        <f t="shared" si="60"/>
        <v>0.14814815552360885</v>
      </c>
      <c r="M144" s="194">
        <v>13112101.6666667</v>
      </c>
      <c r="N144" s="199">
        <f t="shared" si="58"/>
        <v>278980.88888888888</v>
      </c>
      <c r="O144" s="226">
        <f>SUM(H144*2.5/100)</f>
        <v>376624.2</v>
      </c>
      <c r="P144" s="226"/>
      <c r="Q144" s="200">
        <f t="shared" si="61"/>
        <v>655605.08888888895</v>
      </c>
      <c r="R144" s="201">
        <f>'[1]NOV''25'!Q142+N144-V144</f>
        <v>0</v>
      </c>
      <c r="S144" s="201">
        <f>'[1]NOV''25'!R142+O144-W144</f>
        <v>0</v>
      </c>
      <c r="T144" s="201">
        <f>'[1]NOV''25'!S142+P144-X144</f>
        <v>0</v>
      </c>
      <c r="U144" s="200">
        <f t="shared" si="56"/>
        <v>0</v>
      </c>
      <c r="V144" s="202">
        <v>278980.88888888899</v>
      </c>
      <c r="W144" s="203">
        <v>376624.2</v>
      </c>
      <c r="X144" s="217"/>
      <c r="Y144" s="200">
        <f t="shared" si="62"/>
        <v>655605.08888888895</v>
      </c>
      <c r="Z144" s="207">
        <f t="shared" si="59"/>
        <v>12833120.77777781</v>
      </c>
      <c r="AA144" s="96"/>
      <c r="AB144" s="96" t="e">
        <f>#REF!-#REF!</f>
        <v>#REF!</v>
      </c>
    </row>
    <row r="145" spans="1:28" s="55" customFormat="1" outlineLevel="1" x14ac:dyDescent="0.3">
      <c r="B145" s="191">
        <v>5</v>
      </c>
      <c r="C145" s="205" t="s">
        <v>311</v>
      </c>
      <c r="D145" s="192"/>
      <c r="E145" s="193">
        <v>45469</v>
      </c>
      <c r="F145" s="192" t="s">
        <v>312</v>
      </c>
      <c r="G145" s="192" t="s">
        <v>33</v>
      </c>
      <c r="H145" s="194">
        <v>6600000</v>
      </c>
      <c r="I145" s="195"/>
      <c r="J145" s="206">
        <f t="shared" si="57"/>
        <v>21.686538181818182</v>
      </c>
      <c r="K145" s="197">
        <v>24</v>
      </c>
      <c r="L145" s="198">
        <f t="shared" si="60"/>
        <v>0.90360575757575756</v>
      </c>
      <c r="M145" s="194">
        <v>911202</v>
      </c>
      <c r="N145" s="199">
        <f t="shared" si="58"/>
        <v>275000</v>
      </c>
      <c r="O145" s="200">
        <f>SUM(H145*2.5/100)</f>
        <v>165000</v>
      </c>
      <c r="P145" s="200"/>
      <c r="Q145" s="200">
        <f t="shared" si="61"/>
        <v>440000</v>
      </c>
      <c r="R145" s="201">
        <f>'[1]NOV''25'!Q143+N145-V145</f>
        <v>630880</v>
      </c>
      <c r="S145" s="201">
        <f>'[1]NOV''25'!R143+O145-W145</f>
        <v>330000</v>
      </c>
      <c r="T145" s="201">
        <f>'[1]NOV''25'!S143+P145-X145</f>
        <v>0</v>
      </c>
      <c r="U145" s="200">
        <f t="shared" si="56"/>
        <v>960880</v>
      </c>
      <c r="V145" s="202">
        <v>275000</v>
      </c>
      <c r="W145" s="203">
        <v>165000</v>
      </c>
      <c r="X145" s="217"/>
      <c r="Y145" s="200">
        <f t="shared" si="62"/>
        <v>440000</v>
      </c>
      <c r="Z145" s="207">
        <f t="shared" si="59"/>
        <v>636202</v>
      </c>
      <c r="AA145" s="96"/>
      <c r="AB145" s="96" t="e">
        <f>#REF!-#REF!</f>
        <v>#REF!</v>
      </c>
    </row>
    <row r="146" spans="1:28" s="55" customFormat="1" outlineLevel="1" x14ac:dyDescent="0.3">
      <c r="B146" s="191">
        <v>5</v>
      </c>
      <c r="C146" s="192"/>
      <c r="D146" s="192"/>
      <c r="E146" s="208">
        <v>45539</v>
      </c>
      <c r="F146" s="192" t="s">
        <v>313</v>
      </c>
      <c r="G146" s="209" t="s">
        <v>100</v>
      </c>
      <c r="H146" s="194">
        <v>5629972</v>
      </c>
      <c r="I146" s="195"/>
      <c r="J146" s="206">
        <f t="shared" si="57"/>
        <v>1.999999111896116</v>
      </c>
      <c r="K146" s="210">
        <v>24</v>
      </c>
      <c r="L146" s="198">
        <f t="shared" si="60"/>
        <v>8.3333296329004838E-2</v>
      </c>
      <c r="M146" s="194">
        <v>5629971.875</v>
      </c>
      <c r="N146" s="199">
        <f t="shared" si="58"/>
        <v>234582.16666666666</v>
      </c>
      <c r="O146" s="200">
        <f>SUM(H146*2.5/100)</f>
        <v>140749.29999999999</v>
      </c>
      <c r="P146" s="200">
        <v>10000</v>
      </c>
      <c r="Q146" s="200">
        <f t="shared" si="61"/>
        <v>385331.46666666667</v>
      </c>
      <c r="R146" s="201">
        <f>'[1]NOV''25'!Q144+N146-V146</f>
        <v>0.33333333366317675</v>
      </c>
      <c r="S146" s="201">
        <f>'[1]NOV''25'!R144+O146-W146</f>
        <v>0.59999999997671694</v>
      </c>
      <c r="T146" s="201">
        <f>'[1]NOV''25'!S144+P146-X146</f>
        <v>0</v>
      </c>
      <c r="U146" s="200">
        <f t="shared" si="56"/>
        <v>0.93333333363989368</v>
      </c>
      <c r="V146" s="202">
        <f>234582+234582</f>
        <v>469164</v>
      </c>
      <c r="W146" s="203">
        <f>140749+140749</f>
        <v>281498</v>
      </c>
      <c r="X146" s="203">
        <f>10000+10000</f>
        <v>20000</v>
      </c>
      <c r="Y146" s="200">
        <f t="shared" si="62"/>
        <v>770662</v>
      </c>
      <c r="Z146" s="207">
        <f t="shared" si="59"/>
        <v>5160807.875</v>
      </c>
      <c r="AA146" s="96"/>
      <c r="AB146" s="96" t="e">
        <f>#REF!-#REF!</f>
        <v>#REF!</v>
      </c>
    </row>
    <row r="147" spans="1:28" s="55" customFormat="1" x14ac:dyDescent="0.3">
      <c r="B147" s="191">
        <v>1</v>
      </c>
      <c r="C147" s="191"/>
      <c r="D147" s="191"/>
      <c r="E147" s="208">
        <v>45418</v>
      </c>
      <c r="F147" s="192" t="s">
        <v>314</v>
      </c>
      <c r="G147" s="218" t="s">
        <v>133</v>
      </c>
      <c r="H147" s="194">
        <v>2170000</v>
      </c>
      <c r="I147" s="224"/>
      <c r="J147" s="225">
        <f t="shared" ref="J147:J210" si="63">(H147-Z147)/N147</f>
        <v>19.000007373271885</v>
      </c>
      <c r="K147" s="197">
        <v>24</v>
      </c>
      <c r="L147" s="198">
        <f t="shared" si="60"/>
        <v>0.79166697388632856</v>
      </c>
      <c r="M147" s="194">
        <v>585923.66666666698</v>
      </c>
      <c r="N147" s="199">
        <f>SUM(H147/K147)</f>
        <v>90416.666666666672</v>
      </c>
      <c r="O147" s="226">
        <f>SUM(H147*2.5/100)</f>
        <v>54250</v>
      </c>
      <c r="P147" s="226"/>
      <c r="Q147" s="226">
        <f t="shared" ref="Q147:Q210" si="64">+N147+O147</f>
        <v>144666.66666666669</v>
      </c>
      <c r="R147" s="201">
        <f>'[1]NOV''25'!Q146+N147-V147</f>
        <v>0.33333333337213844</v>
      </c>
      <c r="S147" s="201">
        <f>'[1]NOV''25'!R146+O147-W147</f>
        <v>0</v>
      </c>
      <c r="T147" s="201">
        <f>'[1]NOV''25'!S146+P147-X147</f>
        <v>0</v>
      </c>
      <c r="U147" s="200">
        <f>+R147+S147+T147</f>
        <v>0.33333333337213844</v>
      </c>
      <c r="V147" s="202">
        <f>90417+43424</f>
        <v>133841</v>
      </c>
      <c r="W147" s="240">
        <v>54250</v>
      </c>
      <c r="X147" s="240"/>
      <c r="Y147" s="200">
        <f>+V147+W147+X147</f>
        <v>188091</v>
      </c>
      <c r="Z147" s="241">
        <f t="shared" ref="Z147:Z194" si="65">SUM(M147-V147)</f>
        <v>452082.66666666698</v>
      </c>
      <c r="AA147" s="96"/>
      <c r="AB147" s="96" t="e">
        <f>#REF!-#REF!</f>
        <v>#REF!</v>
      </c>
    </row>
    <row r="148" spans="1:28" s="55" customFormat="1" x14ac:dyDescent="0.3">
      <c r="B148" s="191">
        <v>2</v>
      </c>
      <c r="C148" s="191"/>
      <c r="D148" s="191"/>
      <c r="E148" s="208">
        <v>45418</v>
      </c>
      <c r="F148" s="192" t="s">
        <v>315</v>
      </c>
      <c r="G148" s="192" t="s">
        <v>38</v>
      </c>
      <c r="H148" s="194">
        <v>4500000</v>
      </c>
      <c r="I148" s="224"/>
      <c r="J148" s="225">
        <f t="shared" si="63"/>
        <v>19</v>
      </c>
      <c r="K148" s="197">
        <v>24</v>
      </c>
      <c r="L148" s="198">
        <f t="shared" si="60"/>
        <v>0.79166666666666663</v>
      </c>
      <c r="M148" s="194">
        <v>1125000</v>
      </c>
      <c r="N148" s="199">
        <f t="shared" ref="N148:N211" si="66">SUM(H148/K148)</f>
        <v>187500</v>
      </c>
      <c r="O148" s="226">
        <f t="shared" ref="O148:O211" si="67">SUM(H148*2.5/100)</f>
        <v>112500</v>
      </c>
      <c r="P148" s="226"/>
      <c r="Q148" s="226">
        <f t="shared" si="64"/>
        <v>300000</v>
      </c>
      <c r="R148" s="201">
        <f>'[1]NOV''25'!Q147+N148-V148</f>
        <v>0</v>
      </c>
      <c r="S148" s="201">
        <f>'[1]NOV''25'!R147+O148-W148</f>
        <v>0</v>
      </c>
      <c r="T148" s="201">
        <f>'[1]NOV''25'!S147+P148-X148</f>
        <v>0</v>
      </c>
      <c r="U148" s="200">
        <f t="shared" si="56"/>
        <v>0</v>
      </c>
      <c r="V148" s="202">
        <v>187500</v>
      </c>
      <c r="W148" s="203">
        <v>112500</v>
      </c>
      <c r="X148" s="203"/>
      <c r="Y148" s="200">
        <f t="shared" ref="Y148:Y211" si="68">+V148+W148+X148</f>
        <v>300000</v>
      </c>
      <c r="Z148" s="241">
        <f t="shared" si="65"/>
        <v>937500</v>
      </c>
      <c r="AA148" s="96"/>
      <c r="AB148" s="96" t="e">
        <f>#REF!-#REF!</f>
        <v>#REF!</v>
      </c>
    </row>
    <row r="149" spans="1:28" s="55" customFormat="1" x14ac:dyDescent="0.3">
      <c r="B149" s="191">
        <v>3</v>
      </c>
      <c r="C149" s="191"/>
      <c r="D149" s="191"/>
      <c r="E149" s="208">
        <v>45418</v>
      </c>
      <c r="F149" s="192" t="s">
        <v>316</v>
      </c>
      <c r="G149" s="192" t="s">
        <v>317</v>
      </c>
      <c r="H149" s="194">
        <v>3200000</v>
      </c>
      <c r="I149" s="224"/>
      <c r="J149" s="225">
        <f t="shared" si="63"/>
        <v>18.999992499999998</v>
      </c>
      <c r="K149" s="197">
        <v>24</v>
      </c>
      <c r="L149" s="198">
        <f t="shared" si="60"/>
        <v>0.79166635416666653</v>
      </c>
      <c r="M149" s="194">
        <v>800001</v>
      </c>
      <c r="N149" s="199">
        <f t="shared" si="66"/>
        <v>133333.33333333334</v>
      </c>
      <c r="O149" s="226">
        <f t="shared" si="67"/>
        <v>80000</v>
      </c>
      <c r="P149" s="226"/>
      <c r="Q149" s="226">
        <f t="shared" si="64"/>
        <v>213333.33333333334</v>
      </c>
      <c r="R149" s="201">
        <f>'[1]NOV''25'!Q148+N149-V149</f>
        <v>3.4924596548080444E-10</v>
      </c>
      <c r="S149" s="201">
        <f>'[1]NOV''25'!R148+O149-W149</f>
        <v>0</v>
      </c>
      <c r="T149" s="201">
        <f>'[1]NOV''25'!S148+P149-X149</f>
        <v>0</v>
      </c>
      <c r="U149" s="200">
        <f t="shared" si="56"/>
        <v>3.4924596548080444E-10</v>
      </c>
      <c r="V149" s="202">
        <v>133333.33333333299</v>
      </c>
      <c r="W149" s="203">
        <v>80000</v>
      </c>
      <c r="X149" s="203"/>
      <c r="Y149" s="200">
        <f t="shared" si="68"/>
        <v>213333.33333333299</v>
      </c>
      <c r="Z149" s="241">
        <f t="shared" si="65"/>
        <v>666667.66666666698</v>
      </c>
      <c r="AA149" s="96"/>
      <c r="AB149" s="96" t="e">
        <f>#REF!-#REF!</f>
        <v>#REF!</v>
      </c>
    </row>
    <row r="150" spans="1:28" s="55" customFormat="1" x14ac:dyDescent="0.3">
      <c r="B150" s="191">
        <v>4</v>
      </c>
      <c r="C150" s="191"/>
      <c r="D150" s="191"/>
      <c r="E150" s="208">
        <v>45419</v>
      </c>
      <c r="F150" s="192" t="s">
        <v>318</v>
      </c>
      <c r="G150" s="192" t="s">
        <v>27</v>
      </c>
      <c r="H150" s="194">
        <v>2025000</v>
      </c>
      <c r="I150" s="224"/>
      <c r="J150" s="225">
        <f t="shared" si="63"/>
        <v>19</v>
      </c>
      <c r="K150" s="197">
        <v>24</v>
      </c>
      <c r="L150" s="198">
        <f t="shared" si="60"/>
        <v>0.79166666666666663</v>
      </c>
      <c r="M150" s="194">
        <v>506250</v>
      </c>
      <c r="N150" s="199">
        <f t="shared" si="66"/>
        <v>84375</v>
      </c>
      <c r="O150" s="226">
        <f t="shared" si="67"/>
        <v>50625</v>
      </c>
      <c r="P150" s="226"/>
      <c r="Q150" s="226">
        <f t="shared" si="64"/>
        <v>135000</v>
      </c>
      <c r="R150" s="201">
        <f>'[1]NOV''25'!Q149+N150-V150</f>
        <v>0</v>
      </c>
      <c r="S150" s="201">
        <f>'[1]NOV''25'!R149+O150-W150</f>
        <v>0</v>
      </c>
      <c r="T150" s="201">
        <f>'[1]NOV''25'!S149+P150-X150</f>
        <v>0</v>
      </c>
      <c r="U150" s="200">
        <f t="shared" si="56"/>
        <v>0</v>
      </c>
      <c r="V150" s="202">
        <v>84375</v>
      </c>
      <c r="W150" s="203">
        <v>50625</v>
      </c>
      <c r="X150" s="203"/>
      <c r="Y150" s="200">
        <f t="shared" si="68"/>
        <v>135000</v>
      </c>
      <c r="Z150" s="241">
        <f t="shared" si="65"/>
        <v>421875</v>
      </c>
      <c r="AA150" s="96"/>
      <c r="AB150" s="96" t="e">
        <f>#REF!-#REF!</f>
        <v>#REF!</v>
      </c>
    </row>
    <row r="151" spans="1:28" s="55" customFormat="1" x14ac:dyDescent="0.3">
      <c r="B151" s="191">
        <v>5</v>
      </c>
      <c r="C151" s="191"/>
      <c r="D151" s="191"/>
      <c r="E151" s="208">
        <v>45420</v>
      </c>
      <c r="F151" s="192" t="s">
        <v>319</v>
      </c>
      <c r="G151" s="192" t="s">
        <v>27</v>
      </c>
      <c r="H151" s="194">
        <v>2700000</v>
      </c>
      <c r="I151" s="224"/>
      <c r="J151" s="225">
        <f t="shared" si="63"/>
        <v>19</v>
      </c>
      <c r="K151" s="197">
        <v>24</v>
      </c>
      <c r="L151" s="198">
        <f t="shared" si="60"/>
        <v>0.79166666666666663</v>
      </c>
      <c r="M151" s="194">
        <v>675000</v>
      </c>
      <c r="N151" s="199">
        <f t="shared" si="66"/>
        <v>112500</v>
      </c>
      <c r="O151" s="226">
        <f t="shared" si="67"/>
        <v>67500</v>
      </c>
      <c r="P151" s="226"/>
      <c r="Q151" s="226">
        <f t="shared" si="64"/>
        <v>180000</v>
      </c>
      <c r="R151" s="201">
        <f>'[1]NOV''25'!Q150+N151-V151</f>
        <v>0</v>
      </c>
      <c r="S151" s="201">
        <f>'[1]NOV''25'!R150+O151-W151</f>
        <v>0</v>
      </c>
      <c r="T151" s="201">
        <f>'[1]NOV''25'!S150+P151-X151</f>
        <v>0</v>
      </c>
      <c r="U151" s="200">
        <f t="shared" si="56"/>
        <v>0</v>
      </c>
      <c r="V151" s="202">
        <v>112500</v>
      </c>
      <c r="W151" s="203">
        <v>67500</v>
      </c>
      <c r="X151" s="203"/>
      <c r="Y151" s="200">
        <f t="shared" si="68"/>
        <v>180000</v>
      </c>
      <c r="Z151" s="241">
        <f t="shared" si="65"/>
        <v>562500</v>
      </c>
      <c r="AA151" s="96"/>
      <c r="AB151" s="96" t="e">
        <f>#REF!-#REF!</f>
        <v>#REF!</v>
      </c>
    </row>
    <row r="152" spans="1:28" s="55" customFormat="1" x14ac:dyDescent="0.3">
      <c r="B152" s="191">
        <v>6</v>
      </c>
      <c r="C152" s="192"/>
      <c r="D152" s="192"/>
      <c r="E152" s="193">
        <v>45446</v>
      </c>
      <c r="F152" s="192" t="s">
        <v>320</v>
      </c>
      <c r="G152" s="192" t="s">
        <v>100</v>
      </c>
      <c r="H152" s="194">
        <v>2000000</v>
      </c>
      <c r="I152" s="224"/>
      <c r="J152" s="225">
        <f t="shared" si="63"/>
        <v>17.999991999999999</v>
      </c>
      <c r="K152" s="197">
        <v>24</v>
      </c>
      <c r="L152" s="198">
        <f t="shared" si="60"/>
        <v>0.74999966666666662</v>
      </c>
      <c r="M152" s="194">
        <v>583334</v>
      </c>
      <c r="N152" s="199">
        <f t="shared" si="66"/>
        <v>83333.333333333328</v>
      </c>
      <c r="O152" s="226">
        <f t="shared" si="67"/>
        <v>50000</v>
      </c>
      <c r="P152" s="226"/>
      <c r="Q152" s="226">
        <f t="shared" si="64"/>
        <v>133333.33333333331</v>
      </c>
      <c r="R152" s="201">
        <f>'[1]NOV''25'!Q151+N152-V152</f>
        <v>0</v>
      </c>
      <c r="S152" s="201">
        <f>'[1]NOV''25'!R151+O152-W152</f>
        <v>0</v>
      </c>
      <c r="T152" s="201">
        <f>'[1]NOV''25'!S151+P152-X152</f>
        <v>0</v>
      </c>
      <c r="U152" s="200">
        <f t="shared" si="56"/>
        <v>0</v>
      </c>
      <c r="V152" s="202">
        <v>83333.333333333299</v>
      </c>
      <c r="W152" s="203">
        <v>50000</v>
      </c>
      <c r="X152" s="203"/>
      <c r="Y152" s="200">
        <f t="shared" si="68"/>
        <v>133333.33333333331</v>
      </c>
      <c r="Z152" s="204">
        <f t="shared" si="65"/>
        <v>500000.66666666669</v>
      </c>
      <c r="AA152" s="96"/>
      <c r="AB152" s="96" t="e">
        <f>#REF!-#REF!</f>
        <v>#REF!</v>
      </c>
    </row>
    <row r="153" spans="1:28" s="55" customFormat="1" x14ac:dyDescent="0.3">
      <c r="B153" s="191">
        <v>8</v>
      </c>
      <c r="C153" s="192"/>
      <c r="D153" s="192"/>
      <c r="E153" s="193">
        <v>45447</v>
      </c>
      <c r="F153" s="192" t="s">
        <v>321</v>
      </c>
      <c r="G153" s="192" t="s">
        <v>30</v>
      </c>
      <c r="H153" s="194">
        <v>7900000</v>
      </c>
      <c r="I153" s="224"/>
      <c r="J153" s="225">
        <f t="shared" si="63"/>
        <v>18.000002025316455</v>
      </c>
      <c r="K153" s="197">
        <v>24</v>
      </c>
      <c r="L153" s="198">
        <f t="shared" si="60"/>
        <v>0.75000008438818566</v>
      </c>
      <c r="M153" s="194">
        <v>2304166</v>
      </c>
      <c r="N153" s="199">
        <f t="shared" si="66"/>
        <v>329166.66666666669</v>
      </c>
      <c r="O153" s="226">
        <f t="shared" si="67"/>
        <v>197500</v>
      </c>
      <c r="P153" s="226"/>
      <c r="Q153" s="226">
        <f t="shared" si="64"/>
        <v>526666.66666666674</v>
      </c>
      <c r="R153" s="201">
        <f>'[1]NOV''25'!Q152+N153-V153</f>
        <v>0</v>
      </c>
      <c r="S153" s="201">
        <f>'[1]NOV''25'!R152+O153-W153</f>
        <v>0</v>
      </c>
      <c r="T153" s="201">
        <f>'[1]NOV''25'!S152+P153-X153</f>
        <v>0</v>
      </c>
      <c r="U153" s="200">
        <f t="shared" si="56"/>
        <v>0</v>
      </c>
      <c r="V153" s="202">
        <v>329166.66666666698</v>
      </c>
      <c r="W153" s="203">
        <v>197500</v>
      </c>
      <c r="X153" s="203"/>
      <c r="Y153" s="200">
        <f t="shared" si="68"/>
        <v>526666.66666666698</v>
      </c>
      <c r="Z153" s="204">
        <f t="shared" si="65"/>
        <v>1974999.333333333</v>
      </c>
      <c r="AA153" s="96"/>
      <c r="AB153" s="96" t="e">
        <f>#REF!-#REF!</f>
        <v>#REF!</v>
      </c>
    </row>
    <row r="154" spans="1:28" s="55" customFormat="1" x14ac:dyDescent="0.3">
      <c r="B154" s="191">
        <v>9</v>
      </c>
      <c r="C154" s="192"/>
      <c r="D154" s="192"/>
      <c r="E154" s="193">
        <v>45448</v>
      </c>
      <c r="F154" s="192" t="s">
        <v>322</v>
      </c>
      <c r="G154" s="192" t="s">
        <v>33</v>
      </c>
      <c r="H154" s="194">
        <v>7950000</v>
      </c>
      <c r="I154" s="224"/>
      <c r="J154" s="225">
        <f t="shared" si="63"/>
        <v>18</v>
      </c>
      <c r="K154" s="197">
        <v>24</v>
      </c>
      <c r="L154" s="198">
        <f t="shared" si="60"/>
        <v>0.75</v>
      </c>
      <c r="M154" s="194">
        <v>2318750</v>
      </c>
      <c r="N154" s="199">
        <f t="shared" si="66"/>
        <v>331250</v>
      </c>
      <c r="O154" s="226">
        <f t="shared" si="67"/>
        <v>198750</v>
      </c>
      <c r="P154" s="226"/>
      <c r="Q154" s="226">
        <f t="shared" si="64"/>
        <v>530000</v>
      </c>
      <c r="R154" s="201">
        <f>'[1]NOV''25'!Q153+N154-V154</f>
        <v>0</v>
      </c>
      <c r="S154" s="201">
        <f>'[1]NOV''25'!R153+O154-W154</f>
        <v>0</v>
      </c>
      <c r="T154" s="201">
        <f>'[1]NOV''25'!S153+P154-X154</f>
        <v>0</v>
      </c>
      <c r="U154" s="200">
        <f t="shared" si="56"/>
        <v>0</v>
      </c>
      <c r="V154" s="202">
        <v>331250</v>
      </c>
      <c r="W154" s="203">
        <v>198750</v>
      </c>
      <c r="X154" s="203"/>
      <c r="Y154" s="200">
        <f t="shared" si="68"/>
        <v>530000</v>
      </c>
      <c r="Z154" s="204">
        <f t="shared" si="65"/>
        <v>1987500</v>
      </c>
      <c r="AA154" s="96"/>
      <c r="AB154" s="96" t="e">
        <f>#REF!-#REF!</f>
        <v>#REF!</v>
      </c>
    </row>
    <row r="155" spans="1:28" s="55" customFormat="1" x14ac:dyDescent="0.3">
      <c r="B155" s="191">
        <v>11</v>
      </c>
      <c r="C155" s="192"/>
      <c r="D155" s="192"/>
      <c r="E155" s="193">
        <v>45448</v>
      </c>
      <c r="F155" s="192" t="s">
        <v>323</v>
      </c>
      <c r="G155" s="192" t="s">
        <v>33</v>
      </c>
      <c r="H155" s="194">
        <v>4650000</v>
      </c>
      <c r="I155" s="224"/>
      <c r="J155" s="225">
        <f t="shared" si="63"/>
        <v>18</v>
      </c>
      <c r="K155" s="197">
        <v>24</v>
      </c>
      <c r="L155" s="198">
        <f t="shared" si="60"/>
        <v>0.75</v>
      </c>
      <c r="M155" s="194">
        <v>1356250</v>
      </c>
      <c r="N155" s="199">
        <f t="shared" si="66"/>
        <v>193750</v>
      </c>
      <c r="O155" s="226">
        <f t="shared" si="67"/>
        <v>116250</v>
      </c>
      <c r="P155" s="226"/>
      <c r="Q155" s="226">
        <f t="shared" si="64"/>
        <v>310000</v>
      </c>
      <c r="R155" s="201">
        <f>'[1]NOV''25'!Q155+N155-V155</f>
        <v>0</v>
      </c>
      <c r="S155" s="201">
        <f>'[1]NOV''25'!R155+O155-W155</f>
        <v>0</v>
      </c>
      <c r="T155" s="201">
        <f>'[1]NOV''25'!S155+P155-X155</f>
        <v>0</v>
      </c>
      <c r="U155" s="200">
        <f t="shared" si="56"/>
        <v>0</v>
      </c>
      <c r="V155" s="202">
        <v>193750</v>
      </c>
      <c r="W155" s="203">
        <v>116250</v>
      </c>
      <c r="X155" s="203"/>
      <c r="Y155" s="200">
        <f t="shared" si="68"/>
        <v>310000</v>
      </c>
      <c r="Z155" s="204">
        <f t="shared" si="65"/>
        <v>1162500</v>
      </c>
      <c r="AA155" s="96"/>
      <c r="AB155" s="96" t="e">
        <f>#REF!-#REF!</f>
        <v>#REF!</v>
      </c>
    </row>
    <row r="156" spans="1:28" s="55" customFormat="1" x14ac:dyDescent="0.3">
      <c r="B156" s="191">
        <v>12</v>
      </c>
      <c r="C156" s="192"/>
      <c r="D156" s="192"/>
      <c r="E156" s="193">
        <v>45449</v>
      </c>
      <c r="F156" s="192" t="s">
        <v>324</v>
      </c>
      <c r="G156" s="192" t="s">
        <v>33</v>
      </c>
      <c r="H156" s="194">
        <v>13200000</v>
      </c>
      <c r="I156" s="224"/>
      <c r="J156" s="225">
        <f t="shared" si="63"/>
        <v>18.000001818181818</v>
      </c>
      <c r="K156" s="197">
        <v>24</v>
      </c>
      <c r="L156" s="198">
        <f t="shared" si="60"/>
        <v>0.75000007575757577</v>
      </c>
      <c r="M156" s="194">
        <v>3888239</v>
      </c>
      <c r="N156" s="199">
        <f t="shared" si="66"/>
        <v>550000</v>
      </c>
      <c r="O156" s="226">
        <f t="shared" si="67"/>
        <v>330000</v>
      </c>
      <c r="P156" s="226"/>
      <c r="Q156" s="226">
        <f t="shared" si="64"/>
        <v>880000</v>
      </c>
      <c r="R156" s="201">
        <f>'[1]NOV''25'!Q156+N156-V156</f>
        <v>0</v>
      </c>
      <c r="S156" s="201">
        <f>'[1]NOV''25'!R156+O156-W156</f>
        <v>0</v>
      </c>
      <c r="T156" s="201">
        <f>'[1]NOV''25'!S156+P156-X156</f>
        <v>0</v>
      </c>
      <c r="U156" s="200">
        <f t="shared" si="56"/>
        <v>0</v>
      </c>
      <c r="V156" s="202">
        <f>550000+38240</f>
        <v>588240</v>
      </c>
      <c r="W156" s="203">
        <v>330000</v>
      </c>
      <c r="X156" s="203"/>
      <c r="Y156" s="200">
        <f t="shared" si="68"/>
        <v>918240</v>
      </c>
      <c r="Z156" s="204">
        <f t="shared" si="65"/>
        <v>3299999</v>
      </c>
      <c r="AA156" s="96"/>
      <c r="AB156" s="96" t="e">
        <f>#REF!-#REF!</f>
        <v>#REF!</v>
      </c>
    </row>
    <row r="157" spans="1:28" s="55" customFormat="1" x14ac:dyDescent="0.3">
      <c r="B157" s="191">
        <v>13</v>
      </c>
      <c r="C157" s="192"/>
      <c r="D157" s="192"/>
      <c r="E157" s="193">
        <v>45450</v>
      </c>
      <c r="F157" s="192" t="s">
        <v>325</v>
      </c>
      <c r="G157" s="192" t="s">
        <v>33</v>
      </c>
      <c r="H157" s="194">
        <v>5000000</v>
      </c>
      <c r="I157" s="224"/>
      <c r="J157" s="225">
        <f t="shared" si="63"/>
        <v>17.999988799999983</v>
      </c>
      <c r="K157" s="197">
        <v>24</v>
      </c>
      <c r="L157" s="198">
        <f t="shared" si="60"/>
        <v>0.74999953333333258</v>
      </c>
      <c r="M157" s="194">
        <v>1458335.66666667</v>
      </c>
      <c r="N157" s="199">
        <f t="shared" si="66"/>
        <v>208333.33333333334</v>
      </c>
      <c r="O157" s="226">
        <f t="shared" si="67"/>
        <v>125000</v>
      </c>
      <c r="P157" s="226"/>
      <c r="Q157" s="226">
        <f t="shared" si="64"/>
        <v>333333.33333333337</v>
      </c>
      <c r="R157" s="201">
        <f>'[1]NOV''25'!Q157+N157-V157</f>
        <v>3.4924596548080444E-10</v>
      </c>
      <c r="S157" s="201">
        <f>'[1]NOV''25'!R157+O157-W157</f>
        <v>0</v>
      </c>
      <c r="T157" s="201">
        <f>'[1]NOV''25'!S157+P157-X157</f>
        <v>0</v>
      </c>
      <c r="U157" s="200">
        <f t="shared" si="56"/>
        <v>3.4924596548080444E-10</v>
      </c>
      <c r="V157" s="202">
        <v>208333.33333333299</v>
      </c>
      <c r="W157" s="203">
        <v>125000</v>
      </c>
      <c r="X157" s="203"/>
      <c r="Y157" s="200">
        <f t="shared" si="68"/>
        <v>333333.33333333302</v>
      </c>
      <c r="Z157" s="204">
        <f t="shared" si="65"/>
        <v>1250002.333333337</v>
      </c>
      <c r="AA157" s="96"/>
      <c r="AB157" s="96" t="e">
        <f>#REF!-#REF!</f>
        <v>#REF!</v>
      </c>
    </row>
    <row r="158" spans="1:28" s="55" customFormat="1" x14ac:dyDescent="0.3">
      <c r="B158" s="191">
        <v>14</v>
      </c>
      <c r="C158" s="192"/>
      <c r="D158" s="192"/>
      <c r="E158" s="242">
        <v>45453</v>
      </c>
      <c r="F158" s="243" t="s">
        <v>326</v>
      </c>
      <c r="G158" s="244" t="s">
        <v>287</v>
      </c>
      <c r="H158" s="245">
        <v>2900000</v>
      </c>
      <c r="I158" s="246"/>
      <c r="J158" s="225">
        <f t="shared" si="63"/>
        <v>17.99999448275862</v>
      </c>
      <c r="K158" s="197">
        <v>24</v>
      </c>
      <c r="L158" s="198">
        <f t="shared" si="60"/>
        <v>0.74999977011494245</v>
      </c>
      <c r="M158" s="194">
        <v>845834</v>
      </c>
      <c r="N158" s="199">
        <f t="shared" si="66"/>
        <v>120833.33333333333</v>
      </c>
      <c r="O158" s="226">
        <f t="shared" si="67"/>
        <v>72500</v>
      </c>
      <c r="P158" s="226"/>
      <c r="Q158" s="226">
        <f t="shared" si="64"/>
        <v>193333.33333333331</v>
      </c>
      <c r="R158" s="201">
        <f>'[1]NOV''25'!Q158+N158-V158</f>
        <v>3.3469405025243759E-10</v>
      </c>
      <c r="S158" s="201">
        <f>'[1]NOV''25'!R158+O158-W158</f>
        <v>0</v>
      </c>
      <c r="T158" s="201">
        <f>'[1]NOV''25'!S158+P158-X158</f>
        <v>0</v>
      </c>
      <c r="U158" s="200">
        <f t="shared" si="56"/>
        <v>3.3469405025243759E-10</v>
      </c>
      <c r="V158" s="202">
        <v>120833.33333333299</v>
      </c>
      <c r="W158" s="203">
        <v>72500</v>
      </c>
      <c r="X158" s="203"/>
      <c r="Y158" s="200">
        <f t="shared" si="68"/>
        <v>193333.33333333299</v>
      </c>
      <c r="Z158" s="204">
        <f t="shared" si="65"/>
        <v>725000.66666666698</v>
      </c>
      <c r="AA158" s="96"/>
      <c r="AB158" s="96" t="e">
        <f>#REF!-#REF!</f>
        <v>#REF!</v>
      </c>
    </row>
    <row r="159" spans="1:28" s="55" customFormat="1" x14ac:dyDescent="0.3">
      <c r="B159" s="191">
        <v>15</v>
      </c>
      <c r="C159" s="192"/>
      <c r="D159" s="192"/>
      <c r="E159" s="242">
        <v>45453</v>
      </c>
      <c r="F159" s="243" t="s">
        <v>327</v>
      </c>
      <c r="G159" s="244" t="s">
        <v>239</v>
      </c>
      <c r="H159" s="245">
        <v>9400000</v>
      </c>
      <c r="I159" s="246"/>
      <c r="J159" s="225">
        <f t="shared" si="63"/>
        <v>18.000002553191482</v>
      </c>
      <c r="K159" s="197">
        <v>24</v>
      </c>
      <c r="L159" s="198">
        <f t="shared" si="60"/>
        <v>0.75000010638297843</v>
      </c>
      <c r="M159" s="194">
        <v>3133332.6666666698</v>
      </c>
      <c r="N159" s="199">
        <f t="shared" si="66"/>
        <v>391666.66666666669</v>
      </c>
      <c r="O159" s="226">
        <f t="shared" si="67"/>
        <v>235000</v>
      </c>
      <c r="P159" s="226"/>
      <c r="Q159" s="226">
        <f t="shared" si="64"/>
        <v>626666.66666666674</v>
      </c>
      <c r="R159" s="201">
        <f>'[1]NOV''25'!Q159+N159-V159</f>
        <v>-0.33333333325572312</v>
      </c>
      <c r="S159" s="201">
        <f>'[1]NOV''25'!R159+O159-W159</f>
        <v>0</v>
      </c>
      <c r="T159" s="201">
        <f>'[1]NOV''25'!S159+P159-X159</f>
        <v>0</v>
      </c>
      <c r="U159" s="200">
        <f t="shared" si="56"/>
        <v>-0.33333333325572312</v>
      </c>
      <c r="V159" s="202">
        <f>391666.666666667+391667</f>
        <v>783333.66666666698</v>
      </c>
      <c r="W159" s="203">
        <f>235000+235000</f>
        <v>470000</v>
      </c>
      <c r="X159" s="203"/>
      <c r="Y159" s="200">
        <f t="shared" si="68"/>
        <v>1253333.666666667</v>
      </c>
      <c r="Z159" s="204">
        <f t="shared" si="65"/>
        <v>2349999.0000000028</v>
      </c>
      <c r="AA159" s="96"/>
      <c r="AB159" s="96" t="e">
        <f>#REF!-#REF!</f>
        <v>#REF!</v>
      </c>
    </row>
    <row r="160" spans="1:28" s="55" customFormat="1" x14ac:dyDescent="0.3">
      <c r="A160" s="55" t="s">
        <v>143</v>
      </c>
      <c r="B160" s="191">
        <v>16</v>
      </c>
      <c r="C160" s="192"/>
      <c r="D160" s="192"/>
      <c r="E160" s="193">
        <v>45455</v>
      </c>
      <c r="F160" s="192" t="s">
        <v>328</v>
      </c>
      <c r="G160" s="192" t="s">
        <v>30</v>
      </c>
      <c r="H160" s="194">
        <v>9300000</v>
      </c>
      <c r="I160" s="224"/>
      <c r="J160" s="225">
        <f t="shared" si="63"/>
        <v>18</v>
      </c>
      <c r="K160" s="197">
        <v>24</v>
      </c>
      <c r="L160" s="198">
        <f t="shared" si="60"/>
        <v>0.75</v>
      </c>
      <c r="M160" s="194">
        <v>2712500</v>
      </c>
      <c r="N160" s="199">
        <f t="shared" si="66"/>
        <v>387500</v>
      </c>
      <c r="O160" s="226">
        <f t="shared" si="67"/>
        <v>232500</v>
      </c>
      <c r="P160" s="226"/>
      <c r="Q160" s="226">
        <f t="shared" si="64"/>
        <v>620000</v>
      </c>
      <c r="R160" s="201">
        <f>'[1]NOV''25'!Q160+N160-V160</f>
        <v>0</v>
      </c>
      <c r="S160" s="201">
        <f>'[1]NOV''25'!R160+O160-W160</f>
        <v>0</v>
      </c>
      <c r="T160" s="201">
        <f>'[1]NOV''25'!S160+P160-X160</f>
        <v>0</v>
      </c>
      <c r="U160" s="200">
        <f t="shared" si="56"/>
        <v>0</v>
      </c>
      <c r="V160" s="202">
        <v>387500</v>
      </c>
      <c r="W160" s="203">
        <v>232500</v>
      </c>
      <c r="X160" s="203"/>
      <c r="Y160" s="200">
        <f t="shared" si="68"/>
        <v>620000</v>
      </c>
      <c r="Z160" s="204">
        <f t="shared" si="65"/>
        <v>2325000</v>
      </c>
      <c r="AA160" s="96"/>
      <c r="AB160" s="96" t="e">
        <f>#REF!-#REF!</f>
        <v>#REF!</v>
      </c>
    </row>
    <row r="161" spans="2:28" s="55" customFormat="1" x14ac:dyDescent="0.3">
      <c r="B161" s="191">
        <v>17</v>
      </c>
      <c r="C161" s="192"/>
      <c r="D161" s="192"/>
      <c r="E161" s="193">
        <v>45455</v>
      </c>
      <c r="F161" s="192" t="s">
        <v>329</v>
      </c>
      <c r="G161" s="192" t="s">
        <v>33</v>
      </c>
      <c r="H161" s="194">
        <v>5850000</v>
      </c>
      <c r="I161" s="224"/>
      <c r="J161" s="225">
        <f t="shared" si="63"/>
        <v>16</v>
      </c>
      <c r="K161" s="197">
        <v>24</v>
      </c>
      <c r="L161" s="198">
        <f t="shared" si="60"/>
        <v>0.66666666666666663</v>
      </c>
      <c r="M161" s="194">
        <v>1950000</v>
      </c>
      <c r="N161" s="199">
        <f t="shared" si="66"/>
        <v>243750</v>
      </c>
      <c r="O161" s="226">
        <f t="shared" si="67"/>
        <v>146250</v>
      </c>
      <c r="P161" s="226"/>
      <c r="Q161" s="226">
        <f t="shared" si="64"/>
        <v>390000</v>
      </c>
      <c r="R161" s="201">
        <f>'[1]NOV''25'!Q161+N161-V161</f>
        <v>487500</v>
      </c>
      <c r="S161" s="201">
        <f>'[1]NOV''25'!R161+O161-W161</f>
        <v>292500</v>
      </c>
      <c r="T161" s="201">
        <f>'[1]NOV''25'!S161+P161-X161</f>
        <v>0</v>
      </c>
      <c r="U161" s="200">
        <f t="shared" si="56"/>
        <v>780000</v>
      </c>
      <c r="V161" s="202"/>
      <c r="W161" s="203"/>
      <c r="X161" s="203"/>
      <c r="Y161" s="200">
        <f t="shared" si="68"/>
        <v>0</v>
      </c>
      <c r="Z161" s="204">
        <f t="shared" si="65"/>
        <v>1950000</v>
      </c>
      <c r="AA161" s="96"/>
      <c r="AB161" s="96" t="e">
        <f>#REF!-#REF!</f>
        <v>#REF!</v>
      </c>
    </row>
    <row r="162" spans="2:28" s="55" customFormat="1" x14ac:dyDescent="0.3">
      <c r="B162" s="191">
        <v>18</v>
      </c>
      <c r="C162" s="192"/>
      <c r="D162" s="192"/>
      <c r="E162" s="193">
        <v>45457</v>
      </c>
      <c r="F162" s="192" t="s">
        <v>330</v>
      </c>
      <c r="G162" s="192" t="s">
        <v>30</v>
      </c>
      <c r="H162" s="194">
        <v>2930000</v>
      </c>
      <c r="I162" s="224"/>
      <c r="J162" s="225">
        <f t="shared" si="63"/>
        <v>17.999994539249144</v>
      </c>
      <c r="K162" s="197">
        <v>24</v>
      </c>
      <c r="L162" s="198">
        <f t="shared" si="60"/>
        <v>0.7499997724687143</v>
      </c>
      <c r="M162" s="194">
        <v>854584</v>
      </c>
      <c r="N162" s="199">
        <f t="shared" si="66"/>
        <v>122083.33333333333</v>
      </c>
      <c r="O162" s="226">
        <f t="shared" si="67"/>
        <v>73250</v>
      </c>
      <c r="P162" s="226"/>
      <c r="Q162" s="226">
        <f t="shared" si="64"/>
        <v>195333.33333333331</v>
      </c>
      <c r="R162" s="201">
        <f>'[1]NOV''25'!Q162+N162-V162</f>
        <v>3.3469405025243759E-10</v>
      </c>
      <c r="S162" s="201">
        <f>'[1]NOV''25'!R162+O162-W162</f>
        <v>0</v>
      </c>
      <c r="T162" s="201">
        <f>'[1]NOV''25'!S162+P162-X162</f>
        <v>0</v>
      </c>
      <c r="U162" s="200">
        <f t="shared" si="56"/>
        <v>3.3469405025243759E-10</v>
      </c>
      <c r="V162" s="202">
        <v>122083.33333333299</v>
      </c>
      <c r="W162" s="203">
        <v>73250</v>
      </c>
      <c r="X162" s="203"/>
      <c r="Y162" s="200">
        <f t="shared" si="68"/>
        <v>195333.33333333299</v>
      </c>
      <c r="Z162" s="204">
        <f t="shared" si="65"/>
        <v>732500.66666666698</v>
      </c>
      <c r="AA162" s="96"/>
      <c r="AB162" s="96" t="e">
        <f>#REF!-#REF!</f>
        <v>#REF!</v>
      </c>
    </row>
    <row r="163" spans="2:28" s="55" customFormat="1" x14ac:dyDescent="0.3">
      <c r="B163" s="191">
        <v>19</v>
      </c>
      <c r="C163" s="192"/>
      <c r="D163" s="192"/>
      <c r="E163" s="193">
        <v>45457</v>
      </c>
      <c r="F163" s="192" t="s">
        <v>331</v>
      </c>
      <c r="G163" s="192" t="s">
        <v>30</v>
      </c>
      <c r="H163" s="194">
        <v>2539000</v>
      </c>
      <c r="I163" s="224"/>
      <c r="J163" s="225">
        <f t="shared" si="63"/>
        <v>18.000006301693581</v>
      </c>
      <c r="K163" s="197">
        <v>24</v>
      </c>
      <c r="L163" s="198">
        <f t="shared" si="60"/>
        <v>0.75000026257056585</v>
      </c>
      <c r="M163" s="194">
        <v>740541</v>
      </c>
      <c r="N163" s="199">
        <f t="shared" si="66"/>
        <v>105791.66666666667</v>
      </c>
      <c r="O163" s="226">
        <f t="shared" si="67"/>
        <v>63475</v>
      </c>
      <c r="P163" s="226"/>
      <c r="Q163" s="226">
        <f t="shared" si="64"/>
        <v>169266.66666666669</v>
      </c>
      <c r="R163" s="201">
        <f>'[1]NOV''25'!Q163+N163-V163</f>
        <v>-3.3469405025243759E-10</v>
      </c>
      <c r="S163" s="201">
        <f>'[1]NOV''25'!R163+O163-W163</f>
        <v>0</v>
      </c>
      <c r="T163" s="201">
        <f>'[1]NOV''25'!S163+P163-X163</f>
        <v>0</v>
      </c>
      <c r="U163" s="200">
        <f t="shared" si="56"/>
        <v>-3.3469405025243759E-10</v>
      </c>
      <c r="V163" s="202">
        <v>105791.66666666701</v>
      </c>
      <c r="W163" s="203">
        <v>63475</v>
      </c>
      <c r="X163" s="203"/>
      <c r="Y163" s="200">
        <f t="shared" si="68"/>
        <v>169266.66666666701</v>
      </c>
      <c r="Z163" s="204">
        <f t="shared" si="65"/>
        <v>634749.33333333302</v>
      </c>
      <c r="AA163" s="96"/>
      <c r="AB163" s="96" t="e">
        <f>#REF!-#REF!</f>
        <v>#REF!</v>
      </c>
    </row>
    <row r="164" spans="2:28" s="55" customFormat="1" x14ac:dyDescent="0.3">
      <c r="B164" s="191">
        <v>20</v>
      </c>
      <c r="C164" s="192"/>
      <c r="D164" s="192"/>
      <c r="E164" s="193">
        <v>45463</v>
      </c>
      <c r="F164" s="192" t="s">
        <v>332</v>
      </c>
      <c r="G164" s="192" t="s">
        <v>38</v>
      </c>
      <c r="H164" s="194">
        <v>2160000</v>
      </c>
      <c r="I164" s="224"/>
      <c r="J164" s="225">
        <f t="shared" si="63"/>
        <v>18</v>
      </c>
      <c r="K164" s="197">
        <v>24</v>
      </c>
      <c r="L164" s="198">
        <f t="shared" si="60"/>
        <v>0.75</v>
      </c>
      <c r="M164" s="194">
        <v>630000</v>
      </c>
      <c r="N164" s="199">
        <f t="shared" si="66"/>
        <v>90000</v>
      </c>
      <c r="O164" s="226">
        <f t="shared" si="67"/>
        <v>54000</v>
      </c>
      <c r="P164" s="226"/>
      <c r="Q164" s="226">
        <f t="shared" si="64"/>
        <v>144000</v>
      </c>
      <c r="R164" s="201">
        <f>'[1]NOV''25'!Q164+N164-V164</f>
        <v>0</v>
      </c>
      <c r="S164" s="201">
        <f>'[1]NOV''25'!R164+O164-W164</f>
        <v>0</v>
      </c>
      <c r="T164" s="201">
        <f>'[1]NOV''25'!S164+P164-X164</f>
        <v>0</v>
      </c>
      <c r="U164" s="200">
        <f t="shared" si="56"/>
        <v>0</v>
      </c>
      <c r="V164" s="202">
        <v>90000</v>
      </c>
      <c r="W164" s="203">
        <v>54000</v>
      </c>
      <c r="X164" s="203"/>
      <c r="Y164" s="200">
        <f t="shared" si="68"/>
        <v>144000</v>
      </c>
      <c r="Z164" s="207">
        <f t="shared" si="65"/>
        <v>540000</v>
      </c>
      <c r="AA164" s="96"/>
      <c r="AB164" s="96" t="e">
        <f>#REF!-#REF!</f>
        <v>#REF!</v>
      </c>
    </row>
    <row r="165" spans="2:28" s="55" customFormat="1" x14ac:dyDescent="0.3">
      <c r="B165" s="191">
        <v>21</v>
      </c>
      <c r="C165" s="192"/>
      <c r="D165" s="192"/>
      <c r="E165" s="193">
        <v>45464</v>
      </c>
      <c r="F165" s="192" t="s">
        <v>333</v>
      </c>
      <c r="G165" s="192" t="s">
        <v>30</v>
      </c>
      <c r="H165" s="194">
        <v>1792000</v>
      </c>
      <c r="I165" s="224"/>
      <c r="J165" s="225">
        <f t="shared" si="63"/>
        <v>18.000013392857138</v>
      </c>
      <c r="K165" s="197">
        <v>24</v>
      </c>
      <c r="L165" s="198">
        <f t="shared" si="60"/>
        <v>0.75000055803571408</v>
      </c>
      <c r="M165" s="194">
        <v>522665.66666666698</v>
      </c>
      <c r="N165" s="199">
        <f t="shared" si="66"/>
        <v>74666.666666666672</v>
      </c>
      <c r="O165" s="226">
        <f t="shared" si="67"/>
        <v>44800</v>
      </c>
      <c r="P165" s="226"/>
      <c r="Q165" s="226">
        <f t="shared" si="64"/>
        <v>119466.66666666667</v>
      </c>
      <c r="R165" s="201">
        <f>'[1]NOV''25'!Q165+N165-V165</f>
        <v>-0.33333333335758653</v>
      </c>
      <c r="S165" s="201">
        <f>'[1]NOV''25'!R165+O165-W165</f>
        <v>0</v>
      </c>
      <c r="T165" s="201">
        <f>'[1]NOV''25'!S165+P165-X165</f>
        <v>0</v>
      </c>
      <c r="U165" s="200">
        <f t="shared" si="56"/>
        <v>-0.33333333335758653</v>
      </c>
      <c r="V165" s="202">
        <v>74666.666666666701</v>
      </c>
      <c r="W165" s="203">
        <v>44800</v>
      </c>
      <c r="X165" s="203"/>
      <c r="Y165" s="200">
        <f t="shared" si="68"/>
        <v>119466.6666666667</v>
      </c>
      <c r="Z165" s="207">
        <f t="shared" si="65"/>
        <v>447999.00000000029</v>
      </c>
      <c r="AA165" s="96"/>
      <c r="AB165" s="96" t="e">
        <f>#REF!-#REF!</f>
        <v>#REF!</v>
      </c>
    </row>
    <row r="166" spans="2:28" s="55" customFormat="1" x14ac:dyDescent="0.3">
      <c r="B166" s="191">
        <v>22</v>
      </c>
      <c r="C166" s="192"/>
      <c r="D166" s="192"/>
      <c r="E166" s="193">
        <v>45469</v>
      </c>
      <c r="F166" s="192" t="s">
        <v>334</v>
      </c>
      <c r="G166" s="192" t="s">
        <v>30</v>
      </c>
      <c r="H166" s="194">
        <v>4930000</v>
      </c>
      <c r="I166" s="224"/>
      <c r="J166" s="225">
        <f t="shared" si="63"/>
        <v>18.000003245436108</v>
      </c>
      <c r="K166" s="197">
        <v>24</v>
      </c>
      <c r="L166" s="198">
        <f t="shared" si="60"/>
        <v>0.75000013522650455</v>
      </c>
      <c r="M166" s="194">
        <v>1437916</v>
      </c>
      <c r="N166" s="199">
        <f t="shared" si="66"/>
        <v>205416.66666666666</v>
      </c>
      <c r="O166" s="226">
        <f t="shared" si="67"/>
        <v>123250</v>
      </c>
      <c r="P166" s="226"/>
      <c r="Q166" s="226">
        <f t="shared" si="64"/>
        <v>328666.66666666663</v>
      </c>
      <c r="R166" s="201">
        <f>'[1]NOV''25'!Q166+N166-V166</f>
        <v>-3.4924596548080444E-10</v>
      </c>
      <c r="S166" s="201">
        <f>'[1]NOV''25'!R166+O166-W166</f>
        <v>0</v>
      </c>
      <c r="T166" s="201">
        <f>'[1]NOV''25'!S166+P166-X166</f>
        <v>0</v>
      </c>
      <c r="U166" s="200">
        <f t="shared" si="56"/>
        <v>-3.4924596548080444E-10</v>
      </c>
      <c r="V166" s="202">
        <v>205416.66666666701</v>
      </c>
      <c r="W166" s="203">
        <v>123250</v>
      </c>
      <c r="X166" s="203"/>
      <c r="Y166" s="200">
        <f t="shared" si="68"/>
        <v>328666.66666666698</v>
      </c>
      <c r="Z166" s="207">
        <f t="shared" si="65"/>
        <v>1232499.333333333</v>
      </c>
      <c r="AA166" s="96"/>
      <c r="AB166" s="96" t="e">
        <f>#REF!-#REF!</f>
        <v>#REF!</v>
      </c>
    </row>
    <row r="167" spans="2:28" s="55" customFormat="1" x14ac:dyDescent="0.3">
      <c r="B167" s="191">
        <v>23</v>
      </c>
      <c r="C167" s="192"/>
      <c r="D167" s="192"/>
      <c r="E167" s="193">
        <v>45469</v>
      </c>
      <c r="F167" s="192" t="s">
        <v>335</v>
      </c>
      <c r="G167" s="192" t="s">
        <v>84</v>
      </c>
      <c r="H167" s="194">
        <v>7350000</v>
      </c>
      <c r="I167" s="224"/>
      <c r="J167" s="225">
        <f t="shared" si="63"/>
        <v>18</v>
      </c>
      <c r="K167" s="197">
        <v>24</v>
      </c>
      <c r="L167" s="198">
        <f t="shared" si="60"/>
        <v>0.75</v>
      </c>
      <c r="M167" s="194">
        <v>2143750</v>
      </c>
      <c r="N167" s="199">
        <f t="shared" si="66"/>
        <v>306250</v>
      </c>
      <c r="O167" s="226">
        <f t="shared" si="67"/>
        <v>183750</v>
      </c>
      <c r="P167" s="226"/>
      <c r="Q167" s="226">
        <f t="shared" si="64"/>
        <v>490000</v>
      </c>
      <c r="R167" s="201">
        <f>'[1]NOV''25'!Q167+N167-V167</f>
        <v>0</v>
      </c>
      <c r="S167" s="201">
        <f>'[1]NOV''25'!R167+O167-W167</f>
        <v>0</v>
      </c>
      <c r="T167" s="201">
        <f>'[1]NOV''25'!S167+P167-X167</f>
        <v>0</v>
      </c>
      <c r="U167" s="200">
        <f t="shared" si="56"/>
        <v>0</v>
      </c>
      <c r="V167" s="202">
        <v>306250</v>
      </c>
      <c r="W167" s="203">
        <v>183750</v>
      </c>
      <c r="X167" s="203"/>
      <c r="Y167" s="200">
        <f t="shared" si="68"/>
        <v>490000</v>
      </c>
      <c r="Z167" s="207">
        <f t="shared" si="65"/>
        <v>1837500</v>
      </c>
      <c r="AA167" s="96"/>
      <c r="AB167" s="96" t="e">
        <f>#REF!-#REF!</f>
        <v>#REF!</v>
      </c>
    </row>
    <row r="168" spans="2:28" s="55" customFormat="1" x14ac:dyDescent="0.3">
      <c r="B168" s="191">
        <v>24</v>
      </c>
      <c r="C168" s="192"/>
      <c r="D168" s="192"/>
      <c r="E168" s="193">
        <v>45469</v>
      </c>
      <c r="F168" s="192" t="s">
        <v>336</v>
      </c>
      <c r="G168" s="192" t="s">
        <v>100</v>
      </c>
      <c r="H168" s="194">
        <v>4800000</v>
      </c>
      <c r="I168" s="224"/>
      <c r="J168" s="225">
        <f t="shared" si="63"/>
        <v>18</v>
      </c>
      <c r="K168" s="197">
        <v>24</v>
      </c>
      <c r="L168" s="198">
        <f t="shared" si="60"/>
        <v>0.75</v>
      </c>
      <c r="M168" s="194">
        <v>1400000</v>
      </c>
      <c r="N168" s="199">
        <f t="shared" si="66"/>
        <v>200000</v>
      </c>
      <c r="O168" s="226">
        <f t="shared" si="67"/>
        <v>120000</v>
      </c>
      <c r="P168" s="226"/>
      <c r="Q168" s="226">
        <f t="shared" si="64"/>
        <v>320000</v>
      </c>
      <c r="R168" s="201">
        <f>'[1]NOV''25'!Q168+N168-V168</f>
        <v>0</v>
      </c>
      <c r="S168" s="201">
        <f>'[1]NOV''25'!R168+O168-W168</f>
        <v>0</v>
      </c>
      <c r="T168" s="201">
        <f>'[1]NOV''25'!S168+P168-X168</f>
        <v>0</v>
      </c>
      <c r="U168" s="200">
        <f t="shared" si="56"/>
        <v>0</v>
      </c>
      <c r="V168" s="202">
        <v>200000</v>
      </c>
      <c r="W168" s="203">
        <v>120000</v>
      </c>
      <c r="X168" s="203"/>
      <c r="Y168" s="200">
        <f t="shared" si="68"/>
        <v>320000</v>
      </c>
      <c r="Z168" s="207">
        <f t="shared" si="65"/>
        <v>1200000</v>
      </c>
      <c r="AA168" s="96"/>
      <c r="AB168" s="96" t="e">
        <f>#REF!-#REF!</f>
        <v>#REF!</v>
      </c>
    </row>
    <row r="169" spans="2:28" s="55" customFormat="1" x14ac:dyDescent="0.3">
      <c r="B169" s="191">
        <v>25</v>
      </c>
      <c r="C169" s="192"/>
      <c r="D169" s="192"/>
      <c r="E169" s="193">
        <v>45470</v>
      </c>
      <c r="F169" s="192" t="s">
        <v>337</v>
      </c>
      <c r="G169" s="192" t="s">
        <v>279</v>
      </c>
      <c r="H169" s="194">
        <v>8950000</v>
      </c>
      <c r="I169" s="224"/>
      <c r="J169" s="225">
        <f t="shared" si="63"/>
        <v>18.000002681564236</v>
      </c>
      <c r="K169" s="197">
        <v>24</v>
      </c>
      <c r="L169" s="198">
        <f t="shared" si="60"/>
        <v>0.75000011173184322</v>
      </c>
      <c r="M169" s="194">
        <v>2610415.6666666698</v>
      </c>
      <c r="N169" s="199">
        <f t="shared" si="66"/>
        <v>372916.66666666669</v>
      </c>
      <c r="O169" s="226">
        <f t="shared" si="67"/>
        <v>223750</v>
      </c>
      <c r="P169" s="226"/>
      <c r="Q169" s="226">
        <f t="shared" si="64"/>
        <v>596666.66666666674</v>
      </c>
      <c r="R169" s="201">
        <f>'[1]NOV''25'!Q169+N169-V169</f>
        <v>-0.33333333360496908</v>
      </c>
      <c r="S169" s="201">
        <f>'[1]NOV''25'!R169+O169-W169</f>
        <v>0</v>
      </c>
      <c r="T169" s="201">
        <f>'[1]NOV''25'!S169+P169-X169</f>
        <v>0</v>
      </c>
      <c r="U169" s="200">
        <f t="shared" si="56"/>
        <v>-0.33333333360496908</v>
      </c>
      <c r="V169" s="202">
        <v>372916.66666666698</v>
      </c>
      <c r="W169" s="203">
        <v>223750</v>
      </c>
      <c r="X169" s="203"/>
      <c r="Y169" s="200">
        <f t="shared" si="68"/>
        <v>596666.66666666698</v>
      </c>
      <c r="Z169" s="207">
        <f t="shared" si="65"/>
        <v>2237499.0000000028</v>
      </c>
      <c r="AA169" s="96"/>
      <c r="AB169" s="96" t="e">
        <f>#REF!-#REF!</f>
        <v>#REF!</v>
      </c>
    </row>
    <row r="170" spans="2:28" s="55" customFormat="1" x14ac:dyDescent="0.3">
      <c r="B170" s="191">
        <v>26</v>
      </c>
      <c r="C170" s="192"/>
      <c r="D170" s="192"/>
      <c r="E170" s="193">
        <v>45474</v>
      </c>
      <c r="F170" s="192" t="s">
        <v>338</v>
      </c>
      <c r="G170" s="192" t="s">
        <v>100</v>
      </c>
      <c r="H170" s="194">
        <v>9900000</v>
      </c>
      <c r="I170" s="224"/>
      <c r="J170" s="225">
        <f t="shared" si="63"/>
        <v>17</v>
      </c>
      <c r="K170" s="197">
        <v>24</v>
      </c>
      <c r="L170" s="198">
        <f t="shared" si="60"/>
        <v>0.70833333333333337</v>
      </c>
      <c r="M170" s="194">
        <v>3340283</v>
      </c>
      <c r="N170" s="199">
        <f t="shared" si="66"/>
        <v>412500</v>
      </c>
      <c r="O170" s="226">
        <f t="shared" si="67"/>
        <v>247500</v>
      </c>
      <c r="P170" s="226"/>
      <c r="Q170" s="226">
        <f t="shared" si="64"/>
        <v>660000</v>
      </c>
      <c r="R170" s="201">
        <f>'[1]NOV''25'!Q170+N170-V170</f>
        <v>0</v>
      </c>
      <c r="S170" s="201">
        <f>'[1]NOV''25'!R170+O170-W170</f>
        <v>0</v>
      </c>
      <c r="T170" s="201">
        <f>'[1]NOV''25'!S170+P170-X170</f>
        <v>0</v>
      </c>
      <c r="U170" s="200">
        <f t="shared" si="56"/>
        <v>0</v>
      </c>
      <c r="V170" s="202">
        <f>412500+40283</f>
        <v>452783</v>
      </c>
      <c r="W170" s="203">
        <v>247500</v>
      </c>
      <c r="X170" s="203"/>
      <c r="Y170" s="200">
        <f t="shared" si="68"/>
        <v>700283</v>
      </c>
      <c r="Z170" s="207">
        <f t="shared" si="65"/>
        <v>2887500</v>
      </c>
      <c r="AA170" s="96"/>
      <c r="AB170" s="96" t="e">
        <f>#REF!-#REF!</f>
        <v>#REF!</v>
      </c>
    </row>
    <row r="171" spans="2:28" s="55" customFormat="1" x14ac:dyDescent="0.3">
      <c r="B171" s="191">
        <v>27</v>
      </c>
      <c r="C171" s="192"/>
      <c r="D171" s="192"/>
      <c r="E171" s="193">
        <v>45474</v>
      </c>
      <c r="F171" s="192" t="s">
        <v>339</v>
      </c>
      <c r="G171" s="192" t="s">
        <v>100</v>
      </c>
      <c r="H171" s="194">
        <v>2850000</v>
      </c>
      <c r="I171" s="224"/>
      <c r="J171" s="225">
        <f t="shared" si="63"/>
        <v>17</v>
      </c>
      <c r="K171" s="197">
        <v>24</v>
      </c>
      <c r="L171" s="198">
        <f t="shared" si="60"/>
        <v>0.70833333333333337</v>
      </c>
      <c r="M171" s="194">
        <v>950000</v>
      </c>
      <c r="N171" s="199">
        <f t="shared" si="66"/>
        <v>118750</v>
      </c>
      <c r="O171" s="226">
        <f t="shared" si="67"/>
        <v>71250</v>
      </c>
      <c r="P171" s="226"/>
      <c r="Q171" s="226">
        <f t="shared" si="64"/>
        <v>190000</v>
      </c>
      <c r="R171" s="201">
        <f>'[1]NOV''25'!Q171+N171-V171</f>
        <v>0</v>
      </c>
      <c r="S171" s="201">
        <f>'[1]NOV''25'!R171+O171-W171</f>
        <v>0</v>
      </c>
      <c r="T171" s="201">
        <f>'[1]NOV''25'!S171+P171-X171</f>
        <v>0</v>
      </c>
      <c r="U171" s="200">
        <f t="shared" si="56"/>
        <v>0</v>
      </c>
      <c r="V171" s="202">
        <v>118750</v>
      </c>
      <c r="W171" s="203">
        <v>71250</v>
      </c>
      <c r="X171" s="203"/>
      <c r="Y171" s="200">
        <f t="shared" si="68"/>
        <v>190000</v>
      </c>
      <c r="Z171" s="207">
        <f t="shared" si="65"/>
        <v>831250</v>
      </c>
      <c r="AA171" s="96"/>
      <c r="AB171" s="96" t="e">
        <f>#REF!-#REF!</f>
        <v>#REF!</v>
      </c>
    </row>
    <row r="172" spans="2:28" s="55" customFormat="1" x14ac:dyDescent="0.3">
      <c r="B172" s="191">
        <v>28</v>
      </c>
      <c r="C172" s="192"/>
      <c r="D172" s="192"/>
      <c r="E172" s="193">
        <v>45474</v>
      </c>
      <c r="F172" s="192" t="s">
        <v>340</v>
      </c>
      <c r="G172" s="192" t="s">
        <v>33</v>
      </c>
      <c r="H172" s="194">
        <v>4800000</v>
      </c>
      <c r="I172" s="224"/>
      <c r="J172" s="225">
        <f t="shared" si="63"/>
        <v>17</v>
      </c>
      <c r="K172" s="197">
        <v>24</v>
      </c>
      <c r="L172" s="198">
        <f t="shared" si="60"/>
        <v>0.70833333333333337</v>
      </c>
      <c r="M172" s="194">
        <v>1600000</v>
      </c>
      <c r="N172" s="199">
        <f t="shared" si="66"/>
        <v>200000</v>
      </c>
      <c r="O172" s="226">
        <f t="shared" si="67"/>
        <v>120000</v>
      </c>
      <c r="P172" s="226"/>
      <c r="Q172" s="226">
        <f t="shared" si="64"/>
        <v>320000</v>
      </c>
      <c r="R172" s="201">
        <f>'[1]NOV''25'!Q172+N172-V172</f>
        <v>0</v>
      </c>
      <c r="S172" s="201">
        <f>'[1]NOV''25'!R172+O172-W172</f>
        <v>0</v>
      </c>
      <c r="T172" s="201">
        <f>'[1]NOV''25'!S172+P172-X172</f>
        <v>0</v>
      </c>
      <c r="U172" s="200">
        <f t="shared" si="56"/>
        <v>0</v>
      </c>
      <c r="V172" s="202">
        <v>200000</v>
      </c>
      <c r="W172" s="203">
        <f>23690+96310</f>
        <v>120000</v>
      </c>
      <c r="X172" s="203"/>
      <c r="Y172" s="200">
        <f t="shared" si="68"/>
        <v>320000</v>
      </c>
      <c r="Z172" s="207">
        <f t="shared" si="65"/>
        <v>1400000</v>
      </c>
      <c r="AA172" s="96"/>
      <c r="AB172" s="96" t="e">
        <f>#REF!-#REF!</f>
        <v>#REF!</v>
      </c>
    </row>
    <row r="173" spans="2:28" s="55" customFormat="1" x14ac:dyDescent="0.3">
      <c r="B173" s="191">
        <v>29</v>
      </c>
      <c r="C173" s="192"/>
      <c r="D173" s="192"/>
      <c r="E173" s="193">
        <v>45474</v>
      </c>
      <c r="F173" s="192" t="s">
        <v>341</v>
      </c>
      <c r="G173" s="192" t="s">
        <v>33</v>
      </c>
      <c r="H173" s="194">
        <v>3450000</v>
      </c>
      <c r="I173" s="224"/>
      <c r="J173" s="225">
        <f t="shared" si="63"/>
        <v>17</v>
      </c>
      <c r="K173" s="197">
        <v>24</v>
      </c>
      <c r="L173" s="198">
        <f t="shared" si="60"/>
        <v>0.70833333333333337</v>
      </c>
      <c r="M173" s="194">
        <v>1150000</v>
      </c>
      <c r="N173" s="199">
        <f t="shared" si="66"/>
        <v>143750</v>
      </c>
      <c r="O173" s="226">
        <f t="shared" si="67"/>
        <v>86250</v>
      </c>
      <c r="P173" s="226"/>
      <c r="Q173" s="226">
        <f t="shared" si="64"/>
        <v>230000</v>
      </c>
      <c r="R173" s="201">
        <f>'[1]NOV''25'!Q173+N173-V173</f>
        <v>0</v>
      </c>
      <c r="S173" s="201">
        <f>'[1]NOV''25'!R173+O173-W173</f>
        <v>0</v>
      </c>
      <c r="T173" s="201">
        <f>'[1]NOV''25'!S173+P173-X173</f>
        <v>0</v>
      </c>
      <c r="U173" s="200">
        <f t="shared" si="56"/>
        <v>0</v>
      </c>
      <c r="V173" s="202">
        <v>143750</v>
      </c>
      <c r="W173" s="203">
        <v>86250</v>
      </c>
      <c r="X173" s="203"/>
      <c r="Y173" s="200">
        <f t="shared" si="68"/>
        <v>230000</v>
      </c>
      <c r="Z173" s="207">
        <f t="shared" si="65"/>
        <v>1006250</v>
      </c>
      <c r="AA173" s="96"/>
      <c r="AB173" s="96" t="e">
        <f>#REF!-#REF!</f>
        <v>#REF!</v>
      </c>
    </row>
    <row r="174" spans="2:28" s="55" customFormat="1" x14ac:dyDescent="0.3">
      <c r="B174" s="191">
        <v>30</v>
      </c>
      <c r="C174" s="192"/>
      <c r="D174" s="192"/>
      <c r="E174" s="193">
        <v>45474</v>
      </c>
      <c r="F174" s="192" t="s">
        <v>342</v>
      </c>
      <c r="G174" s="192" t="s">
        <v>100</v>
      </c>
      <c r="H174" s="194">
        <v>3200000</v>
      </c>
      <c r="I174" s="224"/>
      <c r="J174" s="225">
        <f t="shared" si="63"/>
        <v>16.999997499999996</v>
      </c>
      <c r="K174" s="197">
        <v>24</v>
      </c>
      <c r="L174" s="198">
        <f t="shared" si="60"/>
        <v>0.70833322916666652</v>
      </c>
      <c r="M174" s="194">
        <v>1066667</v>
      </c>
      <c r="N174" s="199">
        <f t="shared" si="66"/>
        <v>133333.33333333334</v>
      </c>
      <c r="O174" s="226">
        <f t="shared" si="67"/>
        <v>80000</v>
      </c>
      <c r="P174" s="226"/>
      <c r="Q174" s="226">
        <f t="shared" si="64"/>
        <v>213333.33333333334</v>
      </c>
      <c r="R174" s="201">
        <f>'[1]NOV''25'!Q174+N174-V174</f>
        <v>3.4924596548080444E-10</v>
      </c>
      <c r="S174" s="201">
        <f>'[1]NOV''25'!R174+O174-W174</f>
        <v>0</v>
      </c>
      <c r="T174" s="201">
        <f>'[1]NOV''25'!S174+P174-X174</f>
        <v>0</v>
      </c>
      <c r="U174" s="200">
        <f t="shared" si="56"/>
        <v>3.4924596548080444E-10</v>
      </c>
      <c r="V174" s="202">
        <v>133333.33333333299</v>
      </c>
      <c r="W174" s="203">
        <v>80000</v>
      </c>
      <c r="X174" s="203"/>
      <c r="Y174" s="200">
        <f t="shared" si="68"/>
        <v>213333.33333333299</v>
      </c>
      <c r="Z174" s="207">
        <f t="shared" si="65"/>
        <v>933333.66666666698</v>
      </c>
      <c r="AA174" s="96"/>
      <c r="AB174" s="96" t="e">
        <f>#REF!-#REF!</f>
        <v>#REF!</v>
      </c>
    </row>
    <row r="175" spans="2:28" s="55" customFormat="1" x14ac:dyDescent="0.3">
      <c r="B175" s="191">
        <v>31</v>
      </c>
      <c r="C175" s="192"/>
      <c r="D175" s="192"/>
      <c r="E175" s="193">
        <v>45474</v>
      </c>
      <c r="F175" s="192" t="s">
        <v>343</v>
      </c>
      <c r="G175" s="192" t="s">
        <v>100</v>
      </c>
      <c r="H175" s="194">
        <v>2040000</v>
      </c>
      <c r="I175" s="224"/>
      <c r="J175" s="225">
        <f t="shared" si="63"/>
        <v>17</v>
      </c>
      <c r="K175" s="197">
        <v>24</v>
      </c>
      <c r="L175" s="198">
        <f t="shared" si="60"/>
        <v>0.70833333333333337</v>
      </c>
      <c r="M175" s="194">
        <v>765000</v>
      </c>
      <c r="N175" s="199">
        <f t="shared" si="66"/>
        <v>85000</v>
      </c>
      <c r="O175" s="226">
        <f t="shared" si="67"/>
        <v>51000</v>
      </c>
      <c r="P175" s="226"/>
      <c r="Q175" s="226">
        <f t="shared" si="64"/>
        <v>136000</v>
      </c>
      <c r="R175" s="201">
        <f>'[1]NOV''25'!Q175+N175-V175</f>
        <v>0</v>
      </c>
      <c r="S175" s="201">
        <f>'[1]NOV''25'!R175+O175-W175</f>
        <v>0</v>
      </c>
      <c r="T175" s="201">
        <f>'[1]NOV''25'!S175+P175-X175</f>
        <v>0</v>
      </c>
      <c r="U175" s="200">
        <f t="shared" si="56"/>
        <v>0</v>
      </c>
      <c r="V175" s="202">
        <f>85000+85000</f>
        <v>170000</v>
      </c>
      <c r="W175" s="203">
        <f>51000+50812</f>
        <v>101812</v>
      </c>
      <c r="X175" s="203"/>
      <c r="Y175" s="200">
        <f t="shared" si="68"/>
        <v>271812</v>
      </c>
      <c r="Z175" s="207">
        <f t="shared" si="65"/>
        <v>595000</v>
      </c>
      <c r="AA175" s="96"/>
      <c r="AB175" s="96" t="e">
        <f>#REF!-#REF!</f>
        <v>#REF!</v>
      </c>
    </row>
    <row r="176" spans="2:28" s="55" customFormat="1" x14ac:dyDescent="0.3">
      <c r="B176" s="191">
        <v>32</v>
      </c>
      <c r="C176" s="192"/>
      <c r="D176" s="192"/>
      <c r="E176" s="193">
        <v>45474</v>
      </c>
      <c r="F176" s="192" t="s">
        <v>344</v>
      </c>
      <c r="G176" s="192" t="s">
        <v>185</v>
      </c>
      <c r="H176" s="194">
        <v>5850000</v>
      </c>
      <c r="I176" s="224"/>
      <c r="J176" s="225">
        <f t="shared" si="63"/>
        <v>17</v>
      </c>
      <c r="K176" s="197">
        <v>24</v>
      </c>
      <c r="L176" s="198">
        <f t="shared" si="60"/>
        <v>0.70833333333333337</v>
      </c>
      <c r="M176" s="194">
        <v>1950000</v>
      </c>
      <c r="N176" s="199">
        <f t="shared" si="66"/>
        <v>243750</v>
      </c>
      <c r="O176" s="226">
        <f t="shared" si="67"/>
        <v>146250</v>
      </c>
      <c r="P176" s="226"/>
      <c r="Q176" s="226">
        <f t="shared" si="64"/>
        <v>390000</v>
      </c>
      <c r="R176" s="201">
        <f>'[1]NOV''25'!Q176+N176-V176</f>
        <v>0</v>
      </c>
      <c r="S176" s="201">
        <f>'[1]NOV''25'!R176+O176-W176</f>
        <v>0</v>
      </c>
      <c r="T176" s="201">
        <f>'[1]NOV''25'!S176+P176-X176</f>
        <v>0</v>
      </c>
      <c r="U176" s="200">
        <f t="shared" si="56"/>
        <v>0</v>
      </c>
      <c r="V176" s="202">
        <v>243750</v>
      </c>
      <c r="W176" s="203">
        <v>146250</v>
      </c>
      <c r="X176" s="203"/>
      <c r="Y176" s="200">
        <f t="shared" si="68"/>
        <v>390000</v>
      </c>
      <c r="Z176" s="207">
        <f t="shared" si="65"/>
        <v>1706250</v>
      </c>
      <c r="AA176" s="96"/>
      <c r="AB176" s="96" t="e">
        <f>#REF!-#REF!</f>
        <v>#REF!</v>
      </c>
    </row>
    <row r="177" spans="2:28" s="55" customFormat="1" x14ac:dyDescent="0.3">
      <c r="B177" s="191">
        <v>33</v>
      </c>
      <c r="C177" s="192"/>
      <c r="D177" s="192"/>
      <c r="E177" s="193">
        <v>45475</v>
      </c>
      <c r="F177" s="192" t="s">
        <v>345</v>
      </c>
      <c r="G177" s="192" t="s">
        <v>100</v>
      </c>
      <c r="H177" s="194">
        <v>5000000</v>
      </c>
      <c r="I177" s="224"/>
      <c r="J177" s="225">
        <f t="shared" si="63"/>
        <v>16.999998399999999</v>
      </c>
      <c r="K177" s="197">
        <v>24</v>
      </c>
      <c r="L177" s="198">
        <f t="shared" si="60"/>
        <v>0.70833326666666663</v>
      </c>
      <c r="M177" s="194">
        <v>1666667</v>
      </c>
      <c r="N177" s="199">
        <f t="shared" si="66"/>
        <v>208333.33333333334</v>
      </c>
      <c r="O177" s="226">
        <f t="shared" si="67"/>
        <v>125000</v>
      </c>
      <c r="P177" s="226"/>
      <c r="Q177" s="226">
        <f t="shared" si="64"/>
        <v>333333.33333333337</v>
      </c>
      <c r="R177" s="201">
        <f>'[1]NOV''25'!Q177+N177-V177</f>
        <v>3.4924596548080444E-10</v>
      </c>
      <c r="S177" s="201">
        <f>'[1]NOV''25'!R177+O177-W177</f>
        <v>0</v>
      </c>
      <c r="T177" s="201">
        <f>'[1]NOV''25'!S177+P177-X177</f>
        <v>0</v>
      </c>
      <c r="U177" s="200">
        <f t="shared" si="56"/>
        <v>3.4924596548080444E-10</v>
      </c>
      <c r="V177" s="202">
        <v>208333.33333333299</v>
      </c>
      <c r="W177" s="203">
        <v>125000</v>
      </c>
      <c r="X177" s="203"/>
      <c r="Y177" s="200">
        <f t="shared" si="68"/>
        <v>333333.33333333302</v>
      </c>
      <c r="Z177" s="207">
        <f t="shared" si="65"/>
        <v>1458333.666666667</v>
      </c>
      <c r="AA177" s="96"/>
      <c r="AB177" s="96" t="e">
        <f>#REF!-#REF!</f>
        <v>#REF!</v>
      </c>
    </row>
    <row r="178" spans="2:28" s="55" customFormat="1" x14ac:dyDescent="0.3">
      <c r="B178" s="191">
        <v>34</v>
      </c>
      <c r="C178" s="192"/>
      <c r="D178" s="192"/>
      <c r="E178" s="193">
        <v>45475</v>
      </c>
      <c r="F178" s="192" t="s">
        <v>346</v>
      </c>
      <c r="G178" s="192" t="s">
        <v>185</v>
      </c>
      <c r="H178" s="194">
        <v>7500000</v>
      </c>
      <c r="I178" s="224"/>
      <c r="J178" s="225">
        <f t="shared" si="63"/>
        <v>17</v>
      </c>
      <c r="K178" s="197">
        <v>24</v>
      </c>
      <c r="L178" s="198">
        <f t="shared" si="60"/>
        <v>0.70833333333333337</v>
      </c>
      <c r="M178" s="194">
        <v>2500000</v>
      </c>
      <c r="N178" s="199">
        <f t="shared" si="66"/>
        <v>312500</v>
      </c>
      <c r="O178" s="226">
        <f t="shared" si="67"/>
        <v>187500</v>
      </c>
      <c r="P178" s="226"/>
      <c r="Q178" s="226">
        <f t="shared" si="64"/>
        <v>500000</v>
      </c>
      <c r="R178" s="201">
        <f>'[1]NOV''25'!Q178+N178-V178</f>
        <v>0</v>
      </c>
      <c r="S178" s="201">
        <f>'[1]NOV''25'!R178+O178-W178</f>
        <v>0</v>
      </c>
      <c r="T178" s="201">
        <f>'[1]NOV''25'!S178+P178-X178</f>
        <v>0</v>
      </c>
      <c r="U178" s="200">
        <f t="shared" si="56"/>
        <v>0</v>
      </c>
      <c r="V178" s="202">
        <v>312500</v>
      </c>
      <c r="W178" s="203">
        <v>187500</v>
      </c>
      <c r="X178" s="203"/>
      <c r="Y178" s="200">
        <f t="shared" si="68"/>
        <v>500000</v>
      </c>
      <c r="Z178" s="207">
        <f t="shared" si="65"/>
        <v>2187500</v>
      </c>
      <c r="AA178" s="96"/>
      <c r="AB178" s="96" t="e">
        <f>#REF!-#REF!</f>
        <v>#REF!</v>
      </c>
    </row>
    <row r="179" spans="2:28" s="55" customFormat="1" x14ac:dyDescent="0.3">
      <c r="B179" s="191">
        <v>35</v>
      </c>
      <c r="C179" s="192"/>
      <c r="D179" s="192"/>
      <c r="E179" s="193">
        <v>45475</v>
      </c>
      <c r="F179" s="192" t="s">
        <v>347</v>
      </c>
      <c r="G179" s="192" t="s">
        <v>84</v>
      </c>
      <c r="H179" s="194">
        <v>2325000</v>
      </c>
      <c r="I179" s="224"/>
      <c r="J179" s="225">
        <f t="shared" si="63"/>
        <v>17</v>
      </c>
      <c r="K179" s="197">
        <v>24</v>
      </c>
      <c r="L179" s="198">
        <f t="shared" si="60"/>
        <v>0.70833333333333337</v>
      </c>
      <c r="M179" s="194">
        <v>775000</v>
      </c>
      <c r="N179" s="199">
        <f t="shared" si="66"/>
        <v>96875</v>
      </c>
      <c r="O179" s="226">
        <f t="shared" si="67"/>
        <v>58125</v>
      </c>
      <c r="P179" s="226"/>
      <c r="Q179" s="226">
        <f t="shared" si="64"/>
        <v>155000</v>
      </c>
      <c r="R179" s="201">
        <f>'[1]NOV''25'!Q179+N179-V179</f>
        <v>0</v>
      </c>
      <c r="S179" s="201">
        <f>'[1]NOV''25'!R179+O179-W179</f>
        <v>0</v>
      </c>
      <c r="T179" s="201">
        <f>'[1]NOV''25'!S179+P179-X179</f>
        <v>0</v>
      </c>
      <c r="U179" s="200">
        <f t="shared" si="56"/>
        <v>0</v>
      </c>
      <c r="V179" s="202">
        <v>96875</v>
      </c>
      <c r="W179" s="203">
        <v>58125</v>
      </c>
      <c r="X179" s="203"/>
      <c r="Y179" s="200">
        <f t="shared" si="68"/>
        <v>155000</v>
      </c>
      <c r="Z179" s="207">
        <f t="shared" si="65"/>
        <v>678125</v>
      </c>
      <c r="AA179" s="96"/>
      <c r="AB179" s="96" t="e">
        <f>#REF!-#REF!</f>
        <v>#REF!</v>
      </c>
    </row>
    <row r="180" spans="2:28" s="55" customFormat="1" x14ac:dyDescent="0.3">
      <c r="B180" s="191">
        <v>36</v>
      </c>
      <c r="C180" s="192"/>
      <c r="D180" s="192"/>
      <c r="E180" s="193">
        <v>45476</v>
      </c>
      <c r="F180" s="192" t="s">
        <v>348</v>
      </c>
      <c r="G180" s="192" t="s">
        <v>33</v>
      </c>
      <c r="H180" s="194">
        <v>7935000</v>
      </c>
      <c r="I180" s="224"/>
      <c r="J180" s="225">
        <f t="shared" si="63"/>
        <v>17</v>
      </c>
      <c r="K180" s="197">
        <v>24</v>
      </c>
      <c r="L180" s="198">
        <f t="shared" si="60"/>
        <v>0.70833333333333337</v>
      </c>
      <c r="M180" s="194">
        <v>2645000</v>
      </c>
      <c r="N180" s="199">
        <f t="shared" si="66"/>
        <v>330625</v>
      </c>
      <c r="O180" s="226">
        <f t="shared" si="67"/>
        <v>198375</v>
      </c>
      <c r="P180" s="226"/>
      <c r="Q180" s="226">
        <f t="shared" si="64"/>
        <v>529000</v>
      </c>
      <c r="R180" s="201">
        <f>'[1]NOV''25'!Q180+N180-V180</f>
        <v>0</v>
      </c>
      <c r="S180" s="201">
        <f>'[1]NOV''25'!R180+O180-W180</f>
        <v>0</v>
      </c>
      <c r="T180" s="201">
        <f>'[1]NOV''25'!S180+P180-X180</f>
        <v>0</v>
      </c>
      <c r="U180" s="200">
        <f t="shared" si="56"/>
        <v>0</v>
      </c>
      <c r="V180" s="202">
        <v>330625</v>
      </c>
      <c r="W180" s="203">
        <v>198375</v>
      </c>
      <c r="X180" s="203"/>
      <c r="Y180" s="200">
        <f t="shared" si="68"/>
        <v>529000</v>
      </c>
      <c r="Z180" s="207">
        <f t="shared" si="65"/>
        <v>2314375</v>
      </c>
      <c r="AA180" s="96"/>
      <c r="AB180" s="96" t="e">
        <f>#REF!-#REF!</f>
        <v>#REF!</v>
      </c>
    </row>
    <row r="181" spans="2:28" s="55" customFormat="1" x14ac:dyDescent="0.3">
      <c r="B181" s="191">
        <v>38</v>
      </c>
      <c r="C181" s="192"/>
      <c r="D181" s="192"/>
      <c r="E181" s="193">
        <v>45490</v>
      </c>
      <c r="F181" s="192" t="s">
        <v>349</v>
      </c>
      <c r="G181" s="192" t="s">
        <v>48</v>
      </c>
      <c r="H181" s="194">
        <v>7600000</v>
      </c>
      <c r="I181" s="195"/>
      <c r="J181" s="206">
        <f t="shared" si="63"/>
        <v>16.790515789473694</v>
      </c>
      <c r="K181" s="197">
        <v>24</v>
      </c>
      <c r="L181" s="198">
        <f t="shared" si="60"/>
        <v>0.69960482456140394</v>
      </c>
      <c r="M181" s="194">
        <v>2533332.3333333302</v>
      </c>
      <c r="N181" s="199">
        <f t="shared" si="66"/>
        <v>316666.66666666669</v>
      </c>
      <c r="O181" s="200">
        <f t="shared" si="67"/>
        <v>190000</v>
      </c>
      <c r="P181" s="200"/>
      <c r="Q181" s="200">
        <f t="shared" si="64"/>
        <v>506666.66666666669</v>
      </c>
      <c r="R181" s="201">
        <f>'[1]NOV''25'!Q182+N181-V181</f>
        <v>66338.000000000116</v>
      </c>
      <c r="S181" s="201">
        <f>'[1]NOV''25'!R182+O181-W181</f>
        <v>0</v>
      </c>
      <c r="T181" s="201">
        <f>'[1]NOV''25'!S182+P181-X181</f>
        <v>0</v>
      </c>
      <c r="U181" s="200">
        <f t="shared" si="56"/>
        <v>66338.000000000116</v>
      </c>
      <c r="V181" s="202">
        <v>250329</v>
      </c>
      <c r="W181" s="203">
        <v>190000</v>
      </c>
      <c r="X181" s="203"/>
      <c r="Y181" s="200">
        <f t="shared" si="68"/>
        <v>440329</v>
      </c>
      <c r="Z181" s="207">
        <f t="shared" si="65"/>
        <v>2283003.3333333302</v>
      </c>
      <c r="AA181" s="96"/>
      <c r="AB181" s="96" t="e">
        <f>#REF!-#REF!</f>
        <v>#REF!</v>
      </c>
    </row>
    <row r="182" spans="2:28" s="55" customFormat="1" x14ac:dyDescent="0.3">
      <c r="B182" s="191">
        <v>39</v>
      </c>
      <c r="C182" s="192"/>
      <c r="D182" s="192"/>
      <c r="E182" s="193">
        <v>45481</v>
      </c>
      <c r="F182" s="192" t="s">
        <v>350</v>
      </c>
      <c r="G182" s="192" t="s">
        <v>38</v>
      </c>
      <c r="H182" s="194">
        <v>7560000</v>
      </c>
      <c r="I182" s="224"/>
      <c r="J182" s="225">
        <f t="shared" si="63"/>
        <v>17</v>
      </c>
      <c r="K182" s="197">
        <v>24</v>
      </c>
      <c r="L182" s="198">
        <f t="shared" si="60"/>
        <v>0.70833333333333337</v>
      </c>
      <c r="M182" s="194">
        <v>2520000</v>
      </c>
      <c r="N182" s="199">
        <f t="shared" si="66"/>
        <v>315000</v>
      </c>
      <c r="O182" s="226">
        <f t="shared" si="67"/>
        <v>189000</v>
      </c>
      <c r="P182" s="226"/>
      <c r="Q182" s="226">
        <f t="shared" si="64"/>
        <v>504000</v>
      </c>
      <c r="R182" s="201">
        <f>'[1]NOV''25'!Q183+N182-V182</f>
        <v>0</v>
      </c>
      <c r="S182" s="201">
        <f>'[1]NOV''25'!R183+O182-W182</f>
        <v>0</v>
      </c>
      <c r="T182" s="201">
        <f>'[1]NOV''25'!S183+P182-X182</f>
        <v>0</v>
      </c>
      <c r="U182" s="200">
        <f t="shared" si="56"/>
        <v>0</v>
      </c>
      <c r="V182" s="202">
        <v>315000</v>
      </c>
      <c r="W182" s="203">
        <v>189000</v>
      </c>
      <c r="X182" s="203"/>
      <c r="Y182" s="200">
        <f t="shared" si="68"/>
        <v>504000</v>
      </c>
      <c r="Z182" s="207">
        <f t="shared" si="65"/>
        <v>2205000</v>
      </c>
      <c r="AA182" s="96"/>
      <c r="AB182" s="96" t="e">
        <f>#REF!-#REF!</f>
        <v>#REF!</v>
      </c>
    </row>
    <row r="183" spans="2:28" s="55" customFormat="1" x14ac:dyDescent="0.3">
      <c r="B183" s="191">
        <v>40</v>
      </c>
      <c r="C183" s="192"/>
      <c r="D183" s="192"/>
      <c r="E183" s="193">
        <v>45484</v>
      </c>
      <c r="F183" s="192" t="s">
        <v>351</v>
      </c>
      <c r="G183" s="192" t="s">
        <v>352</v>
      </c>
      <c r="H183" s="194">
        <v>5000000</v>
      </c>
      <c r="I183" s="224"/>
      <c r="J183" s="225">
        <f t="shared" si="63"/>
        <v>16.999983999999998</v>
      </c>
      <c r="K183" s="197">
        <v>24</v>
      </c>
      <c r="L183" s="198">
        <f t="shared" si="60"/>
        <v>0.70833266666666661</v>
      </c>
      <c r="M183" s="194">
        <v>1666670</v>
      </c>
      <c r="N183" s="199">
        <f t="shared" si="66"/>
        <v>208333.33333333334</v>
      </c>
      <c r="O183" s="226">
        <f t="shared" si="67"/>
        <v>125000</v>
      </c>
      <c r="P183" s="226"/>
      <c r="Q183" s="226">
        <f t="shared" si="64"/>
        <v>333333.33333333337</v>
      </c>
      <c r="R183" s="201">
        <f>'[1]NOV''25'!Q184+N183-V183</f>
        <v>3.4924596548080444E-10</v>
      </c>
      <c r="S183" s="201">
        <f>'[1]NOV''25'!R184+O183-W183</f>
        <v>0</v>
      </c>
      <c r="T183" s="201">
        <f>'[1]NOV''25'!S184+P183-X183</f>
        <v>0</v>
      </c>
      <c r="U183" s="200">
        <f t="shared" si="56"/>
        <v>3.4924596548080444E-10</v>
      </c>
      <c r="V183" s="202">
        <v>208333.33333333299</v>
      </c>
      <c r="W183" s="203">
        <v>125000</v>
      </c>
      <c r="X183" s="203"/>
      <c r="Y183" s="200">
        <f t="shared" si="68"/>
        <v>333333.33333333302</v>
      </c>
      <c r="Z183" s="207">
        <f t="shared" si="65"/>
        <v>1458336.666666667</v>
      </c>
      <c r="AA183" s="96"/>
      <c r="AB183" s="96" t="e">
        <f>#REF!-#REF!</f>
        <v>#REF!</v>
      </c>
    </row>
    <row r="184" spans="2:28" s="55" customFormat="1" x14ac:dyDescent="0.3">
      <c r="B184" s="191">
        <v>41</v>
      </c>
      <c r="C184" s="192"/>
      <c r="D184" s="192"/>
      <c r="E184" s="193">
        <v>45478</v>
      </c>
      <c r="F184" s="192" t="s">
        <v>353</v>
      </c>
      <c r="G184" s="192" t="s">
        <v>100</v>
      </c>
      <c r="H184" s="194">
        <v>1854000</v>
      </c>
      <c r="I184" s="224"/>
      <c r="J184" s="225">
        <f t="shared" si="63"/>
        <v>17</v>
      </c>
      <c r="K184" s="197">
        <v>24</v>
      </c>
      <c r="L184" s="198">
        <f t="shared" si="60"/>
        <v>0.70833333333333337</v>
      </c>
      <c r="M184" s="194">
        <v>618000</v>
      </c>
      <c r="N184" s="199">
        <f t="shared" si="66"/>
        <v>77250</v>
      </c>
      <c r="O184" s="226">
        <f t="shared" si="67"/>
        <v>46350</v>
      </c>
      <c r="P184" s="226"/>
      <c r="Q184" s="226">
        <f t="shared" si="64"/>
        <v>123600</v>
      </c>
      <c r="R184" s="201">
        <f>'[1]NOV''25'!Q185+N184-V184</f>
        <v>0</v>
      </c>
      <c r="S184" s="201">
        <f>'[1]NOV''25'!R185+O184-W184</f>
        <v>0</v>
      </c>
      <c r="T184" s="201">
        <f>'[1]NOV''25'!S185+P184-X184</f>
        <v>0</v>
      </c>
      <c r="U184" s="200">
        <f t="shared" si="56"/>
        <v>0</v>
      </c>
      <c r="V184" s="202">
        <v>77250</v>
      </c>
      <c r="W184" s="203">
        <v>46350</v>
      </c>
      <c r="X184" s="203"/>
      <c r="Y184" s="200">
        <f t="shared" si="68"/>
        <v>123600</v>
      </c>
      <c r="Z184" s="207">
        <f t="shared" si="65"/>
        <v>540750</v>
      </c>
      <c r="AA184" s="96"/>
      <c r="AB184" s="96" t="e">
        <f>#REF!-#REF!</f>
        <v>#REF!</v>
      </c>
    </row>
    <row r="185" spans="2:28" s="55" customFormat="1" x14ac:dyDescent="0.3">
      <c r="B185" s="191">
        <v>43</v>
      </c>
      <c r="C185" s="192"/>
      <c r="D185" s="192"/>
      <c r="E185" s="193">
        <v>45489</v>
      </c>
      <c r="F185" s="243" t="s">
        <v>354</v>
      </c>
      <c r="G185" s="247" t="s">
        <v>48</v>
      </c>
      <c r="H185" s="245">
        <v>4300000</v>
      </c>
      <c r="I185" s="246"/>
      <c r="J185" s="225">
        <f t="shared" si="63"/>
        <v>17.000001860465119</v>
      </c>
      <c r="K185" s="197">
        <v>24</v>
      </c>
      <c r="L185" s="198">
        <f t="shared" si="60"/>
        <v>0.70833341085271329</v>
      </c>
      <c r="M185" s="194">
        <v>1433333</v>
      </c>
      <c r="N185" s="199">
        <f t="shared" si="66"/>
        <v>179166.66666666666</v>
      </c>
      <c r="O185" s="226">
        <f t="shared" si="67"/>
        <v>107500</v>
      </c>
      <c r="P185" s="226"/>
      <c r="Q185" s="226">
        <f t="shared" si="64"/>
        <v>286666.66666666663</v>
      </c>
      <c r="R185" s="201">
        <f>'[1]NOV''25'!Q187+N185-V185</f>
        <v>-3.4924596548080444E-10</v>
      </c>
      <c r="S185" s="201">
        <f>'[1]NOV''25'!R187+O185-W185</f>
        <v>0</v>
      </c>
      <c r="T185" s="201">
        <f>'[1]NOV''25'!S187+P185-X185</f>
        <v>0</v>
      </c>
      <c r="U185" s="200">
        <f t="shared" si="56"/>
        <v>-3.4924596548080444E-10</v>
      </c>
      <c r="V185" s="202">
        <v>179166.66666666701</v>
      </c>
      <c r="W185" s="203">
        <v>107500</v>
      </c>
      <c r="X185" s="203"/>
      <c r="Y185" s="200">
        <f t="shared" si="68"/>
        <v>286666.66666666698</v>
      </c>
      <c r="Z185" s="207">
        <f t="shared" si="65"/>
        <v>1254166.333333333</v>
      </c>
      <c r="AA185" s="96"/>
      <c r="AB185" s="96" t="e">
        <f>#REF!-#REF!</f>
        <v>#REF!</v>
      </c>
    </row>
    <row r="186" spans="2:28" s="55" customFormat="1" x14ac:dyDescent="0.3">
      <c r="B186" s="191">
        <v>44</v>
      </c>
      <c r="C186" s="192"/>
      <c r="D186" s="192"/>
      <c r="E186" s="193">
        <v>45490</v>
      </c>
      <c r="F186" s="192" t="s">
        <v>355</v>
      </c>
      <c r="G186" s="192" t="s">
        <v>48</v>
      </c>
      <c r="H186" s="194">
        <v>8800000</v>
      </c>
      <c r="I186" s="224"/>
      <c r="J186" s="225">
        <f t="shared" si="63"/>
        <v>17.000000909090907</v>
      </c>
      <c r="K186" s="197">
        <v>24</v>
      </c>
      <c r="L186" s="198">
        <f t="shared" si="60"/>
        <v>0.70833337121212114</v>
      </c>
      <c r="M186" s="194">
        <v>2933333</v>
      </c>
      <c r="N186" s="199">
        <f t="shared" si="66"/>
        <v>366666.66666666669</v>
      </c>
      <c r="O186" s="226">
        <f t="shared" si="67"/>
        <v>220000</v>
      </c>
      <c r="P186" s="226"/>
      <c r="Q186" s="226">
        <f t="shared" si="64"/>
        <v>586666.66666666674</v>
      </c>
      <c r="R186" s="201">
        <f>'[1]NOV''25'!Q188+N186-V186</f>
        <v>0</v>
      </c>
      <c r="S186" s="201">
        <f>'[1]NOV''25'!R188+O186-W186</f>
        <v>0</v>
      </c>
      <c r="T186" s="201">
        <f>'[1]NOV''25'!S188+P186-X186</f>
        <v>0</v>
      </c>
      <c r="U186" s="200">
        <f t="shared" si="56"/>
        <v>0</v>
      </c>
      <c r="V186" s="202">
        <v>366666.66666666698</v>
      </c>
      <c r="W186" s="203">
        <v>220000</v>
      </c>
      <c r="X186" s="203"/>
      <c r="Y186" s="200">
        <f t="shared" si="68"/>
        <v>586666.66666666698</v>
      </c>
      <c r="Z186" s="207">
        <f t="shared" si="65"/>
        <v>2566666.333333333</v>
      </c>
      <c r="AA186" s="96"/>
      <c r="AB186" s="96" t="e">
        <f>#REF!-#REF!</f>
        <v>#REF!</v>
      </c>
    </row>
    <row r="187" spans="2:28" s="55" customFormat="1" x14ac:dyDescent="0.3">
      <c r="B187" s="191">
        <v>45</v>
      </c>
      <c r="C187" s="192"/>
      <c r="D187" s="192"/>
      <c r="E187" s="193">
        <v>45490</v>
      </c>
      <c r="F187" s="192" t="s">
        <v>356</v>
      </c>
      <c r="G187" s="192" t="s">
        <v>30</v>
      </c>
      <c r="H187" s="194">
        <v>1800000</v>
      </c>
      <c r="I187" s="224"/>
      <c r="J187" s="225">
        <f t="shared" si="63"/>
        <v>17</v>
      </c>
      <c r="K187" s="197">
        <v>24</v>
      </c>
      <c r="L187" s="198">
        <f t="shared" si="60"/>
        <v>0.70833333333333337</v>
      </c>
      <c r="M187" s="194">
        <v>600000</v>
      </c>
      <c r="N187" s="199">
        <f t="shared" si="66"/>
        <v>75000</v>
      </c>
      <c r="O187" s="226">
        <f t="shared" si="67"/>
        <v>45000</v>
      </c>
      <c r="P187" s="226"/>
      <c r="Q187" s="226">
        <f t="shared" si="64"/>
        <v>120000</v>
      </c>
      <c r="R187" s="201">
        <f>'[1]NOV''25'!Q189+N187-V187</f>
        <v>0</v>
      </c>
      <c r="S187" s="201">
        <f>'[1]NOV''25'!R189+O187-W187</f>
        <v>0</v>
      </c>
      <c r="T187" s="201">
        <f>'[1]NOV''25'!S189+P187-X187</f>
        <v>0</v>
      </c>
      <c r="U187" s="200">
        <f t="shared" si="56"/>
        <v>0</v>
      </c>
      <c r="V187" s="202">
        <v>75000</v>
      </c>
      <c r="W187" s="203">
        <v>45000</v>
      </c>
      <c r="X187" s="203"/>
      <c r="Y187" s="200">
        <f t="shared" si="68"/>
        <v>120000</v>
      </c>
      <c r="Z187" s="207">
        <f t="shared" si="65"/>
        <v>525000</v>
      </c>
      <c r="AA187" s="96"/>
      <c r="AB187" s="96" t="e">
        <f>#REF!-#REF!</f>
        <v>#REF!</v>
      </c>
    </row>
    <row r="188" spans="2:28" s="55" customFormat="1" x14ac:dyDescent="0.3">
      <c r="B188" s="191">
        <v>46</v>
      </c>
      <c r="C188" s="192"/>
      <c r="D188" s="192"/>
      <c r="E188" s="193">
        <v>45492</v>
      </c>
      <c r="F188" s="192" t="s">
        <v>357</v>
      </c>
      <c r="G188" s="192" t="s">
        <v>84</v>
      </c>
      <c r="H188" s="194">
        <v>6525000</v>
      </c>
      <c r="I188" s="224"/>
      <c r="J188" s="225">
        <f t="shared" si="63"/>
        <v>17</v>
      </c>
      <c r="K188" s="197">
        <v>24</v>
      </c>
      <c r="L188" s="198">
        <f t="shared" si="60"/>
        <v>0.70833333333333337</v>
      </c>
      <c r="M188" s="194">
        <v>2446875</v>
      </c>
      <c r="N188" s="199">
        <f t="shared" si="66"/>
        <v>271875</v>
      </c>
      <c r="O188" s="226">
        <f t="shared" si="67"/>
        <v>163125</v>
      </c>
      <c r="P188" s="226"/>
      <c r="Q188" s="226">
        <f t="shared" si="64"/>
        <v>435000</v>
      </c>
      <c r="R188" s="201">
        <f>'[1]NOV''25'!Q190+N188-V188</f>
        <v>0</v>
      </c>
      <c r="S188" s="201">
        <f>'[1]NOV''25'!R190+O188-W188</f>
        <v>0</v>
      </c>
      <c r="T188" s="201">
        <f>'[1]NOV''25'!S190+P188-X188</f>
        <v>0</v>
      </c>
      <c r="U188" s="200">
        <f t="shared" si="56"/>
        <v>0</v>
      </c>
      <c r="V188" s="202">
        <f>271875+271875</f>
        <v>543750</v>
      </c>
      <c r="W188" s="203">
        <f>163125+126525</f>
        <v>289650</v>
      </c>
      <c r="X188" s="203"/>
      <c r="Y188" s="200">
        <f t="shared" si="68"/>
        <v>833400</v>
      </c>
      <c r="Z188" s="207">
        <f t="shared" si="65"/>
        <v>1903125</v>
      </c>
      <c r="AA188" s="96"/>
      <c r="AB188" s="96" t="e">
        <f>#REF!-#REF!</f>
        <v>#REF!</v>
      </c>
    </row>
    <row r="189" spans="2:28" s="55" customFormat="1" x14ac:dyDescent="0.3">
      <c r="B189" s="191">
        <v>47</v>
      </c>
      <c r="C189" s="192"/>
      <c r="D189" s="192"/>
      <c r="E189" s="193">
        <v>45495</v>
      </c>
      <c r="F189" s="192" t="s">
        <v>358</v>
      </c>
      <c r="G189" s="192" t="s">
        <v>100</v>
      </c>
      <c r="H189" s="194">
        <v>6615000</v>
      </c>
      <c r="I189" s="224"/>
      <c r="J189" s="225">
        <f t="shared" si="63"/>
        <v>15</v>
      </c>
      <c r="K189" s="197">
        <v>24</v>
      </c>
      <c r="L189" s="198">
        <f t="shared" si="60"/>
        <v>0.625</v>
      </c>
      <c r="M189" s="194">
        <v>2480625</v>
      </c>
      <c r="N189" s="199">
        <f t="shared" si="66"/>
        <v>275625</v>
      </c>
      <c r="O189" s="226">
        <f t="shared" si="67"/>
        <v>165375</v>
      </c>
      <c r="P189" s="226"/>
      <c r="Q189" s="226">
        <f t="shared" si="64"/>
        <v>441000</v>
      </c>
      <c r="R189" s="201">
        <f>'[1]NOV''25'!Q191+N189-V189</f>
        <v>551250</v>
      </c>
      <c r="S189" s="201">
        <f>'[1]NOV''25'!R191+O189-W189</f>
        <v>330750</v>
      </c>
      <c r="T189" s="201">
        <f>'[1]NOV''25'!S191+P189-X189</f>
        <v>0</v>
      </c>
      <c r="U189" s="200">
        <f t="shared" si="56"/>
        <v>882000</v>
      </c>
      <c r="V189" s="202">
        <v>0</v>
      </c>
      <c r="W189" s="203">
        <v>0</v>
      </c>
      <c r="X189" s="203"/>
      <c r="Y189" s="200">
        <f t="shared" si="68"/>
        <v>0</v>
      </c>
      <c r="Z189" s="207">
        <f t="shared" si="65"/>
        <v>2480625</v>
      </c>
      <c r="AA189" s="96"/>
      <c r="AB189" s="96" t="e">
        <f>#REF!-#REF!</f>
        <v>#REF!</v>
      </c>
    </row>
    <row r="190" spans="2:28" s="55" customFormat="1" x14ac:dyDescent="0.3">
      <c r="B190" s="191">
        <v>48</v>
      </c>
      <c r="C190" s="192"/>
      <c r="D190" s="192"/>
      <c r="E190" s="193">
        <v>45495</v>
      </c>
      <c r="F190" s="192" t="s">
        <v>359</v>
      </c>
      <c r="G190" s="192" t="s">
        <v>38</v>
      </c>
      <c r="H190" s="194">
        <v>2400000</v>
      </c>
      <c r="I190" s="224"/>
      <c r="J190" s="225">
        <f t="shared" si="63"/>
        <v>17</v>
      </c>
      <c r="K190" s="197">
        <v>24</v>
      </c>
      <c r="L190" s="198">
        <f t="shared" si="60"/>
        <v>0.70833333333333337</v>
      </c>
      <c r="M190" s="194">
        <v>800000</v>
      </c>
      <c r="N190" s="199">
        <f t="shared" si="66"/>
        <v>100000</v>
      </c>
      <c r="O190" s="226">
        <f t="shared" si="67"/>
        <v>60000</v>
      </c>
      <c r="P190" s="226"/>
      <c r="Q190" s="226">
        <f t="shared" si="64"/>
        <v>160000</v>
      </c>
      <c r="R190" s="201">
        <f>'[1]NOV''25'!Q192+N190-V190</f>
        <v>0</v>
      </c>
      <c r="S190" s="201">
        <f>'[1]NOV''25'!R192+O190-W190</f>
        <v>0</v>
      </c>
      <c r="T190" s="201">
        <f>'[1]NOV''25'!S192+P190-X190</f>
        <v>0</v>
      </c>
      <c r="U190" s="200">
        <f t="shared" si="56"/>
        <v>0</v>
      </c>
      <c r="V190" s="202">
        <v>100000</v>
      </c>
      <c r="W190" s="203">
        <v>60000</v>
      </c>
      <c r="X190" s="203"/>
      <c r="Y190" s="200">
        <f t="shared" si="68"/>
        <v>160000</v>
      </c>
      <c r="Z190" s="207">
        <f t="shared" si="65"/>
        <v>700000</v>
      </c>
      <c r="AA190" s="96"/>
      <c r="AB190" s="96" t="e">
        <f>#REF!-#REF!</f>
        <v>#REF!</v>
      </c>
    </row>
    <row r="191" spans="2:28" s="55" customFormat="1" x14ac:dyDescent="0.3">
      <c r="B191" s="191">
        <v>49</v>
      </c>
      <c r="C191" s="192"/>
      <c r="D191" s="192"/>
      <c r="E191" s="193">
        <v>45495</v>
      </c>
      <c r="F191" s="192" t="s">
        <v>360</v>
      </c>
      <c r="G191" s="192" t="s">
        <v>30</v>
      </c>
      <c r="H191" s="194">
        <v>4400000</v>
      </c>
      <c r="I191" s="224"/>
      <c r="J191" s="225">
        <f t="shared" si="63"/>
        <v>16.999998181818178</v>
      </c>
      <c r="K191" s="197">
        <v>24</v>
      </c>
      <c r="L191" s="198">
        <f t="shared" si="60"/>
        <v>0.70833325757575738</v>
      </c>
      <c r="M191" s="194">
        <v>1466667</v>
      </c>
      <c r="N191" s="199">
        <f t="shared" si="66"/>
        <v>183333.33333333334</v>
      </c>
      <c r="O191" s="226">
        <f t="shared" si="67"/>
        <v>110000</v>
      </c>
      <c r="P191" s="226"/>
      <c r="Q191" s="226">
        <f t="shared" si="64"/>
        <v>293333.33333333337</v>
      </c>
      <c r="R191" s="201">
        <f>'[1]NOV''25'!Q193+N191-V191</f>
        <v>3.4924596548080444E-10</v>
      </c>
      <c r="S191" s="201">
        <f>'[1]NOV''25'!R193+O191-W191</f>
        <v>0</v>
      </c>
      <c r="T191" s="201">
        <f>'[1]NOV''25'!S193+P191-X191</f>
        <v>0</v>
      </c>
      <c r="U191" s="200">
        <f t="shared" si="56"/>
        <v>3.4924596548080444E-10</v>
      </c>
      <c r="V191" s="202">
        <v>183333.33333333299</v>
      </c>
      <c r="W191" s="203">
        <v>110000</v>
      </c>
      <c r="X191" s="203"/>
      <c r="Y191" s="200">
        <f t="shared" si="68"/>
        <v>293333.33333333302</v>
      </c>
      <c r="Z191" s="207">
        <f t="shared" si="65"/>
        <v>1283333.666666667</v>
      </c>
      <c r="AA191" s="96"/>
      <c r="AB191" s="96" t="e">
        <f>#REF!-#REF!</f>
        <v>#REF!</v>
      </c>
    </row>
    <row r="192" spans="2:28" s="55" customFormat="1" x14ac:dyDescent="0.3">
      <c r="B192" s="191">
        <v>50</v>
      </c>
      <c r="C192" s="192"/>
      <c r="D192" s="192"/>
      <c r="E192" s="193">
        <v>45496</v>
      </c>
      <c r="F192" s="192" t="s">
        <v>361</v>
      </c>
      <c r="G192" s="192" t="s">
        <v>27</v>
      </c>
      <c r="H192" s="194">
        <v>2250000</v>
      </c>
      <c r="I192" s="224"/>
      <c r="J192" s="225">
        <f t="shared" si="63"/>
        <v>17</v>
      </c>
      <c r="K192" s="197">
        <v>24</v>
      </c>
      <c r="L192" s="198">
        <f t="shared" si="60"/>
        <v>0.70833333333333337</v>
      </c>
      <c r="M192" s="194">
        <v>750000</v>
      </c>
      <c r="N192" s="199">
        <f t="shared" si="66"/>
        <v>93750</v>
      </c>
      <c r="O192" s="226">
        <f t="shared" si="67"/>
        <v>56250</v>
      </c>
      <c r="P192" s="226"/>
      <c r="Q192" s="226">
        <f t="shared" si="64"/>
        <v>150000</v>
      </c>
      <c r="R192" s="201">
        <f>'[1]NOV''25'!Q194+N192-V192</f>
        <v>0</v>
      </c>
      <c r="S192" s="201">
        <f>'[1]NOV''25'!R194+O192-W192</f>
        <v>0</v>
      </c>
      <c r="T192" s="201">
        <f>'[1]NOV''25'!S194+P192-X192</f>
        <v>0</v>
      </c>
      <c r="U192" s="200">
        <f t="shared" si="56"/>
        <v>0</v>
      </c>
      <c r="V192" s="202">
        <v>93750</v>
      </c>
      <c r="W192" s="203">
        <v>56250</v>
      </c>
      <c r="X192" s="203"/>
      <c r="Y192" s="200">
        <f t="shared" si="68"/>
        <v>150000</v>
      </c>
      <c r="Z192" s="207">
        <f t="shared" si="65"/>
        <v>656250</v>
      </c>
      <c r="AA192" s="96"/>
      <c r="AB192" s="96" t="e">
        <f>#REF!-#REF!</f>
        <v>#REF!</v>
      </c>
    </row>
    <row r="193" spans="2:28" s="55" customFormat="1" x14ac:dyDescent="0.3">
      <c r="B193" s="191">
        <v>51</v>
      </c>
      <c r="C193" s="192"/>
      <c r="D193" s="192"/>
      <c r="E193" s="193">
        <v>45496</v>
      </c>
      <c r="F193" s="192" t="s">
        <v>362</v>
      </c>
      <c r="G193" s="192" t="s">
        <v>191</v>
      </c>
      <c r="H193" s="194">
        <v>5700000</v>
      </c>
      <c r="I193" s="224"/>
      <c r="J193" s="225">
        <f t="shared" si="63"/>
        <v>17</v>
      </c>
      <c r="K193" s="197">
        <v>24</v>
      </c>
      <c r="L193" s="198">
        <f t="shared" si="60"/>
        <v>0.70833333333333337</v>
      </c>
      <c r="M193" s="194">
        <v>1900000</v>
      </c>
      <c r="N193" s="199">
        <f t="shared" si="66"/>
        <v>237500</v>
      </c>
      <c r="O193" s="226">
        <f t="shared" si="67"/>
        <v>142500</v>
      </c>
      <c r="P193" s="226"/>
      <c r="Q193" s="226">
        <f t="shared" si="64"/>
        <v>380000</v>
      </c>
      <c r="R193" s="201">
        <f>'[1]NOV''25'!Q195+N193-V193</f>
        <v>0</v>
      </c>
      <c r="S193" s="201">
        <f>'[1]NOV''25'!R195+O193-W193</f>
        <v>0</v>
      </c>
      <c r="T193" s="201">
        <f>'[1]NOV''25'!S195+P193-X193</f>
        <v>0</v>
      </c>
      <c r="U193" s="200">
        <f t="shared" si="56"/>
        <v>0</v>
      </c>
      <c r="V193" s="202">
        <v>237500</v>
      </c>
      <c r="W193" s="203">
        <v>142500</v>
      </c>
      <c r="X193" s="203"/>
      <c r="Y193" s="200">
        <f t="shared" si="68"/>
        <v>380000</v>
      </c>
      <c r="Z193" s="207">
        <f t="shared" si="65"/>
        <v>1662500</v>
      </c>
      <c r="AA193" s="96"/>
      <c r="AB193" s="96" t="e">
        <f>#REF!-#REF!</f>
        <v>#REF!</v>
      </c>
    </row>
    <row r="194" spans="2:28" s="55" customFormat="1" x14ac:dyDescent="0.3">
      <c r="B194" s="191">
        <v>52</v>
      </c>
      <c r="C194" s="192"/>
      <c r="D194" s="192"/>
      <c r="E194" s="219">
        <v>45505</v>
      </c>
      <c r="F194" s="192" t="s">
        <v>363</v>
      </c>
      <c r="G194" s="192" t="s">
        <v>33</v>
      </c>
      <c r="H194" s="194">
        <v>2025000</v>
      </c>
      <c r="I194" s="224"/>
      <c r="J194" s="225">
        <f t="shared" si="63"/>
        <v>16</v>
      </c>
      <c r="K194" s="220">
        <v>24</v>
      </c>
      <c r="L194" s="198">
        <f t="shared" si="60"/>
        <v>0.66666666666666663</v>
      </c>
      <c r="M194" s="194">
        <v>759375</v>
      </c>
      <c r="N194" s="199">
        <f t="shared" si="66"/>
        <v>84375</v>
      </c>
      <c r="O194" s="226">
        <f t="shared" si="67"/>
        <v>50625</v>
      </c>
      <c r="P194" s="226"/>
      <c r="Q194" s="226">
        <f t="shared" si="64"/>
        <v>135000</v>
      </c>
      <c r="R194" s="201">
        <f>'[1]NOV''25'!Q196+N194-V194</f>
        <v>0</v>
      </c>
      <c r="S194" s="201">
        <f>'[1]NOV''25'!R196+O194-W194</f>
        <v>0</v>
      </c>
      <c r="T194" s="201">
        <f>'[1]NOV''25'!S196+P194-X194</f>
        <v>0</v>
      </c>
      <c r="U194" s="200">
        <f t="shared" si="56"/>
        <v>0</v>
      </c>
      <c r="V194" s="202">
        <v>84375</v>
      </c>
      <c r="W194" s="203">
        <v>50625</v>
      </c>
      <c r="X194" s="203"/>
      <c r="Y194" s="200">
        <f t="shared" si="68"/>
        <v>135000</v>
      </c>
      <c r="Z194" s="207">
        <f t="shared" si="65"/>
        <v>675000</v>
      </c>
      <c r="AA194" s="96"/>
      <c r="AB194" s="96" t="e">
        <f>#REF!-#REF!</f>
        <v>#REF!</v>
      </c>
    </row>
    <row r="195" spans="2:28" s="55" customFormat="1" x14ac:dyDescent="0.3">
      <c r="B195" s="191">
        <v>53</v>
      </c>
      <c r="C195" s="192"/>
      <c r="D195" s="192"/>
      <c r="E195" s="219">
        <v>45505</v>
      </c>
      <c r="F195" s="192" t="s">
        <v>364</v>
      </c>
      <c r="G195" s="192" t="s">
        <v>185</v>
      </c>
      <c r="H195" s="194">
        <v>1575000</v>
      </c>
      <c r="I195" s="224"/>
      <c r="J195" s="225">
        <f t="shared" si="63"/>
        <v>14</v>
      </c>
      <c r="K195" s="220">
        <v>24</v>
      </c>
      <c r="L195" s="198">
        <f t="shared" si="60"/>
        <v>0.58333333333333337</v>
      </c>
      <c r="M195" s="194">
        <v>656250</v>
      </c>
      <c r="N195" s="199">
        <f t="shared" si="66"/>
        <v>65625</v>
      </c>
      <c r="O195" s="200">
        <f t="shared" si="67"/>
        <v>39375</v>
      </c>
      <c r="P195" s="200"/>
      <c r="Q195" s="200">
        <f t="shared" si="64"/>
        <v>105000</v>
      </c>
      <c r="R195" s="201">
        <f>'[1]NOV''25'!Q197+N195-V195</f>
        <v>131250</v>
      </c>
      <c r="S195" s="201">
        <f>'[1]NOV''25'!R197+O195-W195</f>
        <v>78750</v>
      </c>
      <c r="T195" s="201">
        <f>'[1]NOV''25'!S197+P195-X195</f>
        <v>0</v>
      </c>
      <c r="U195" s="200">
        <f t="shared" si="56"/>
        <v>210000</v>
      </c>
      <c r="V195" s="202"/>
      <c r="W195" s="203"/>
      <c r="X195" s="203"/>
      <c r="Y195" s="200">
        <f t="shared" si="68"/>
        <v>0</v>
      </c>
      <c r="Z195" s="207">
        <f t="shared" ref="Z195:Z247" si="69">SUM(M195-V195)</f>
        <v>656250</v>
      </c>
      <c r="AA195" s="96"/>
      <c r="AB195" s="96" t="e">
        <f>#REF!-#REF!</f>
        <v>#REF!</v>
      </c>
    </row>
    <row r="196" spans="2:28" s="55" customFormat="1" x14ac:dyDescent="0.3">
      <c r="B196" s="191">
        <v>54</v>
      </c>
      <c r="C196" s="192"/>
      <c r="D196" s="192"/>
      <c r="E196" s="219">
        <v>45505</v>
      </c>
      <c r="F196" s="192" t="s">
        <v>365</v>
      </c>
      <c r="G196" s="192" t="s">
        <v>185</v>
      </c>
      <c r="H196" s="194">
        <v>8000000</v>
      </c>
      <c r="I196" s="224"/>
      <c r="J196" s="225">
        <f t="shared" si="63"/>
        <v>16</v>
      </c>
      <c r="K196" s="220">
        <v>24</v>
      </c>
      <c r="L196" s="198">
        <f t="shared" si="60"/>
        <v>0.66666666666666663</v>
      </c>
      <c r="M196" s="194">
        <v>3000000</v>
      </c>
      <c r="N196" s="199">
        <f t="shared" si="66"/>
        <v>333333.33333333331</v>
      </c>
      <c r="O196" s="226">
        <f t="shared" si="67"/>
        <v>200000</v>
      </c>
      <c r="P196" s="226"/>
      <c r="Q196" s="226">
        <f t="shared" si="64"/>
        <v>533333.33333333326</v>
      </c>
      <c r="R196" s="201">
        <f>'[1]NOV''25'!Q198+N196-V196</f>
        <v>0</v>
      </c>
      <c r="S196" s="201">
        <f>'[1]NOV''25'!R198+O196-W196</f>
        <v>0</v>
      </c>
      <c r="T196" s="201">
        <f>'[1]NOV''25'!S198+P196-X196</f>
        <v>0</v>
      </c>
      <c r="U196" s="200">
        <f t="shared" si="56"/>
        <v>0</v>
      </c>
      <c r="V196" s="202">
        <v>333333.33333333302</v>
      </c>
      <c r="W196" s="203">
        <v>200000</v>
      </c>
      <c r="X196" s="203"/>
      <c r="Y196" s="200">
        <f t="shared" si="68"/>
        <v>533333.33333333302</v>
      </c>
      <c r="Z196" s="207">
        <f t="shared" si="69"/>
        <v>2666666.666666667</v>
      </c>
      <c r="AA196" s="96"/>
      <c r="AB196" s="96" t="e">
        <f>#REF!-#REF!</f>
        <v>#REF!</v>
      </c>
    </row>
    <row r="197" spans="2:28" s="150" customFormat="1" x14ac:dyDescent="0.3">
      <c r="B197" s="100">
        <v>56</v>
      </c>
      <c r="C197" s="101"/>
      <c r="D197" s="101"/>
      <c r="E197" s="142">
        <v>45506</v>
      </c>
      <c r="F197" s="101" t="s">
        <v>366</v>
      </c>
      <c r="G197" s="101" t="s">
        <v>33</v>
      </c>
      <c r="H197" s="107">
        <v>2850000</v>
      </c>
      <c r="I197" s="118"/>
      <c r="J197" s="149">
        <f t="shared" si="63"/>
        <v>16</v>
      </c>
      <c r="K197" s="143">
        <v>24</v>
      </c>
      <c r="L197" s="106">
        <f t="shared" si="60"/>
        <v>0.66666666666666663</v>
      </c>
      <c r="M197" s="107">
        <v>1068750</v>
      </c>
      <c r="N197" s="108">
        <f t="shared" si="66"/>
        <v>118750</v>
      </c>
      <c r="O197" s="109">
        <f t="shared" si="67"/>
        <v>71250</v>
      </c>
      <c r="P197" s="109"/>
      <c r="Q197" s="109">
        <f t="shared" si="64"/>
        <v>190000</v>
      </c>
      <c r="R197" s="146">
        <f>'[1]NOV''25'!Q199+N197-V197</f>
        <v>0</v>
      </c>
      <c r="S197" s="146">
        <f>'[1]NOV''25'!R199+O197-W197</f>
        <v>0</v>
      </c>
      <c r="T197" s="146">
        <f>'[1]NOV''25'!S199+P197-X197</f>
        <v>0</v>
      </c>
      <c r="U197" s="109">
        <f t="shared" si="56"/>
        <v>0</v>
      </c>
      <c r="V197" s="110">
        <v>118750</v>
      </c>
      <c r="W197" s="111">
        <v>71250</v>
      </c>
      <c r="X197" s="111"/>
      <c r="Y197" s="109">
        <f t="shared" si="68"/>
        <v>190000</v>
      </c>
      <c r="Z197" s="141">
        <f t="shared" si="69"/>
        <v>950000</v>
      </c>
      <c r="AA197" s="152" t="s">
        <v>151</v>
      </c>
      <c r="AB197" s="96" t="e">
        <f>#REF!-#REF!</f>
        <v>#REF!</v>
      </c>
    </row>
    <row r="198" spans="2:28" s="55" customFormat="1" x14ac:dyDescent="0.3">
      <c r="B198" s="191">
        <v>57</v>
      </c>
      <c r="C198" s="192"/>
      <c r="D198" s="192"/>
      <c r="E198" s="219">
        <v>45506</v>
      </c>
      <c r="F198" s="192" t="s">
        <v>367</v>
      </c>
      <c r="G198" s="192" t="s">
        <v>100</v>
      </c>
      <c r="H198" s="194">
        <v>9999000</v>
      </c>
      <c r="I198" s="224"/>
      <c r="J198" s="225">
        <f t="shared" si="63"/>
        <v>16</v>
      </c>
      <c r="K198" s="220">
        <v>24</v>
      </c>
      <c r="L198" s="198">
        <f t="shared" si="60"/>
        <v>0.66666666666666663</v>
      </c>
      <c r="M198" s="194">
        <v>3749625</v>
      </c>
      <c r="N198" s="199">
        <f t="shared" si="66"/>
        <v>416625</v>
      </c>
      <c r="O198" s="226">
        <f t="shared" si="67"/>
        <v>249975</v>
      </c>
      <c r="P198" s="226"/>
      <c r="Q198" s="226">
        <f t="shared" si="64"/>
        <v>666600</v>
      </c>
      <c r="R198" s="201">
        <f>'[1]NOV''25'!Q200+N198-V198</f>
        <v>0</v>
      </c>
      <c r="S198" s="201">
        <f>'[1]NOV''25'!R200+O198-W198</f>
        <v>0</v>
      </c>
      <c r="T198" s="201">
        <f>'[1]NOV''25'!S200+P198-X198</f>
        <v>0</v>
      </c>
      <c r="U198" s="200">
        <f t="shared" si="56"/>
        <v>0</v>
      </c>
      <c r="V198" s="202">
        <v>416625</v>
      </c>
      <c r="W198" s="203">
        <v>249975</v>
      </c>
      <c r="X198" s="203"/>
      <c r="Y198" s="200">
        <f t="shared" si="68"/>
        <v>666600</v>
      </c>
      <c r="Z198" s="207">
        <f t="shared" si="69"/>
        <v>3333000</v>
      </c>
      <c r="AA198" s="96"/>
      <c r="AB198" s="96" t="e">
        <f>#REF!-#REF!</f>
        <v>#REF!</v>
      </c>
    </row>
    <row r="199" spans="2:28" s="55" customFormat="1" x14ac:dyDescent="0.3">
      <c r="B199" s="191">
        <v>58</v>
      </c>
      <c r="C199" s="192"/>
      <c r="D199" s="192"/>
      <c r="E199" s="219">
        <v>45506</v>
      </c>
      <c r="F199" s="192" t="s">
        <v>368</v>
      </c>
      <c r="G199" s="192" t="s">
        <v>38</v>
      </c>
      <c r="H199" s="194">
        <v>3190000</v>
      </c>
      <c r="I199" s="224"/>
      <c r="J199" s="225">
        <f t="shared" si="63"/>
        <v>16.000000000000004</v>
      </c>
      <c r="K199" s="220">
        <v>24</v>
      </c>
      <c r="L199" s="198">
        <f t="shared" si="60"/>
        <v>0.66666666666666685</v>
      </c>
      <c r="M199" s="194">
        <v>1196250</v>
      </c>
      <c r="N199" s="199">
        <f t="shared" si="66"/>
        <v>132916.66666666666</v>
      </c>
      <c r="O199" s="226">
        <f t="shared" si="67"/>
        <v>79750</v>
      </c>
      <c r="P199" s="226"/>
      <c r="Q199" s="226">
        <f t="shared" si="64"/>
        <v>212666.66666666666</v>
      </c>
      <c r="R199" s="201">
        <f>'[1]NOV''25'!Q201+N199-V199</f>
        <v>-3.4924596548080444E-10</v>
      </c>
      <c r="S199" s="201">
        <f>'[1]NOV''25'!R201+O199-W199</f>
        <v>0</v>
      </c>
      <c r="T199" s="201">
        <f>'[1]NOV''25'!S201+P199-X199</f>
        <v>0</v>
      </c>
      <c r="U199" s="200">
        <f t="shared" ref="U199:U262" si="70">+R199+S199+T199</f>
        <v>-3.4924596548080444E-10</v>
      </c>
      <c r="V199" s="202">
        <v>132916.66666666701</v>
      </c>
      <c r="W199" s="203">
        <v>79750</v>
      </c>
      <c r="X199" s="203"/>
      <c r="Y199" s="200">
        <f t="shared" si="68"/>
        <v>212666.66666666701</v>
      </c>
      <c r="Z199" s="207">
        <f t="shared" si="69"/>
        <v>1063333.333333333</v>
      </c>
      <c r="AA199" s="96"/>
      <c r="AB199" s="96" t="e">
        <f>#REF!-#REF!</f>
        <v>#REF!</v>
      </c>
    </row>
    <row r="200" spans="2:28" s="55" customFormat="1" x14ac:dyDescent="0.3">
      <c r="B200" s="191">
        <v>59</v>
      </c>
      <c r="C200" s="192"/>
      <c r="D200" s="192"/>
      <c r="E200" s="219">
        <v>45506</v>
      </c>
      <c r="F200" s="192" t="s">
        <v>369</v>
      </c>
      <c r="G200" s="192" t="s">
        <v>185</v>
      </c>
      <c r="H200" s="194">
        <v>6300000</v>
      </c>
      <c r="I200" s="224"/>
      <c r="J200" s="225">
        <f t="shared" si="63"/>
        <v>16</v>
      </c>
      <c r="K200" s="220">
        <v>24</v>
      </c>
      <c r="L200" s="198">
        <f t="shared" si="60"/>
        <v>0.66666666666666663</v>
      </c>
      <c r="M200" s="194">
        <v>2362500</v>
      </c>
      <c r="N200" s="199">
        <f t="shared" si="66"/>
        <v>262500</v>
      </c>
      <c r="O200" s="226">
        <f t="shared" si="67"/>
        <v>157500</v>
      </c>
      <c r="P200" s="226"/>
      <c r="Q200" s="226">
        <f t="shared" si="64"/>
        <v>420000</v>
      </c>
      <c r="R200" s="201">
        <f>'[1]NOV''25'!Q202+N200-V200</f>
        <v>0</v>
      </c>
      <c r="S200" s="201">
        <f>'[1]NOV''25'!R202+O200-W200</f>
        <v>0</v>
      </c>
      <c r="T200" s="201">
        <f>'[1]NOV''25'!S202+P200-X200</f>
        <v>0</v>
      </c>
      <c r="U200" s="200">
        <f t="shared" si="70"/>
        <v>0</v>
      </c>
      <c r="V200" s="202">
        <v>262500</v>
      </c>
      <c r="W200" s="203">
        <v>157500</v>
      </c>
      <c r="X200" s="203"/>
      <c r="Y200" s="200">
        <f t="shared" si="68"/>
        <v>420000</v>
      </c>
      <c r="Z200" s="207">
        <f t="shared" si="69"/>
        <v>2100000</v>
      </c>
      <c r="AA200" s="96"/>
      <c r="AB200" s="96" t="e">
        <f>#REF!-#REF!</f>
        <v>#REF!</v>
      </c>
    </row>
    <row r="201" spans="2:28" s="55" customFormat="1" x14ac:dyDescent="0.3">
      <c r="B201" s="191">
        <v>60</v>
      </c>
      <c r="C201" s="192"/>
      <c r="D201" s="192"/>
      <c r="E201" s="219">
        <v>45506</v>
      </c>
      <c r="F201" s="192" t="s">
        <v>370</v>
      </c>
      <c r="G201" s="192" t="s">
        <v>84</v>
      </c>
      <c r="H201" s="194">
        <v>9000000</v>
      </c>
      <c r="I201" s="224"/>
      <c r="J201" s="225">
        <f t="shared" si="63"/>
        <v>16.015999999999998</v>
      </c>
      <c r="K201" s="220">
        <v>24</v>
      </c>
      <c r="L201" s="198">
        <f t="shared" si="60"/>
        <v>0.66733333333333322</v>
      </c>
      <c r="M201" s="194">
        <v>3369000</v>
      </c>
      <c r="N201" s="199">
        <f t="shared" si="66"/>
        <v>375000</v>
      </c>
      <c r="O201" s="226">
        <f t="shared" si="67"/>
        <v>225000</v>
      </c>
      <c r="P201" s="226"/>
      <c r="Q201" s="226">
        <f t="shared" si="64"/>
        <v>600000</v>
      </c>
      <c r="R201" s="201">
        <f>'[1]NOV''25'!Q203+N201-V201</f>
        <v>0</v>
      </c>
      <c r="S201" s="201">
        <f>'[1]NOV''25'!R203+O201-W201</f>
        <v>0</v>
      </c>
      <c r="T201" s="201">
        <f>'[1]NOV''25'!S203+P201-X201</f>
        <v>0</v>
      </c>
      <c r="U201" s="200">
        <f t="shared" si="70"/>
        <v>0</v>
      </c>
      <c r="V201" s="202">
        <v>375000</v>
      </c>
      <c r="W201" s="203">
        <v>225000</v>
      </c>
      <c r="X201" s="203"/>
      <c r="Y201" s="200">
        <f t="shared" si="68"/>
        <v>600000</v>
      </c>
      <c r="Z201" s="207">
        <f t="shared" si="69"/>
        <v>2994000</v>
      </c>
      <c r="AA201" s="96"/>
      <c r="AB201" s="96" t="e">
        <f>#REF!-#REF!</f>
        <v>#REF!</v>
      </c>
    </row>
    <row r="202" spans="2:28" s="55" customFormat="1" x14ac:dyDescent="0.3">
      <c r="B202" s="191">
        <v>61</v>
      </c>
      <c r="C202" s="192"/>
      <c r="D202" s="192"/>
      <c r="E202" s="219">
        <v>45506</v>
      </c>
      <c r="F202" s="192" t="s">
        <v>371</v>
      </c>
      <c r="G202" s="192" t="s">
        <v>48</v>
      </c>
      <c r="H202" s="194">
        <v>7000000</v>
      </c>
      <c r="I202" s="224"/>
      <c r="J202" s="225">
        <f t="shared" si="63"/>
        <v>16</v>
      </c>
      <c r="K202" s="220">
        <v>24</v>
      </c>
      <c r="L202" s="198">
        <f t="shared" si="60"/>
        <v>0.66666666666666663</v>
      </c>
      <c r="M202" s="194">
        <v>2625000</v>
      </c>
      <c r="N202" s="199">
        <f t="shared" si="66"/>
        <v>291666.66666666669</v>
      </c>
      <c r="O202" s="226">
        <f t="shared" si="67"/>
        <v>175000</v>
      </c>
      <c r="P202" s="226"/>
      <c r="Q202" s="226">
        <f t="shared" si="64"/>
        <v>466666.66666666669</v>
      </c>
      <c r="R202" s="201">
        <f>'[1]NOV''25'!Q204+N202-V202</f>
        <v>0</v>
      </c>
      <c r="S202" s="201">
        <f>'[1]NOV''25'!R204+O202-W202</f>
        <v>0</v>
      </c>
      <c r="T202" s="201">
        <f>'[1]NOV''25'!S204+P202-X202</f>
        <v>0</v>
      </c>
      <c r="U202" s="200">
        <f t="shared" si="70"/>
        <v>0</v>
      </c>
      <c r="V202" s="202">
        <v>291666.66666666698</v>
      </c>
      <c r="W202" s="203">
        <v>175000</v>
      </c>
      <c r="X202" s="203"/>
      <c r="Y202" s="200">
        <f t="shared" si="68"/>
        <v>466666.66666666698</v>
      </c>
      <c r="Z202" s="207">
        <f t="shared" si="69"/>
        <v>2333333.333333333</v>
      </c>
      <c r="AA202" s="96"/>
      <c r="AB202" s="96" t="e">
        <f>#REF!-#REF!</f>
        <v>#REF!</v>
      </c>
    </row>
    <row r="203" spans="2:28" s="55" customFormat="1" x14ac:dyDescent="0.3">
      <c r="B203" s="191">
        <v>63</v>
      </c>
      <c r="C203" s="192"/>
      <c r="D203" s="192"/>
      <c r="E203" s="219">
        <v>45509</v>
      </c>
      <c r="F203" s="192" t="s">
        <v>372</v>
      </c>
      <c r="G203" s="192" t="s">
        <v>373</v>
      </c>
      <c r="H203" s="194">
        <v>6000000</v>
      </c>
      <c r="I203" s="224"/>
      <c r="J203" s="225">
        <f t="shared" si="63"/>
        <v>16</v>
      </c>
      <c r="K203" s="220">
        <v>24</v>
      </c>
      <c r="L203" s="198">
        <f t="shared" si="60"/>
        <v>0.66666666666666663</v>
      </c>
      <c r="M203" s="194">
        <v>2250000</v>
      </c>
      <c r="N203" s="199">
        <f t="shared" si="66"/>
        <v>250000</v>
      </c>
      <c r="O203" s="226">
        <f t="shared" si="67"/>
        <v>150000</v>
      </c>
      <c r="P203" s="226"/>
      <c r="Q203" s="226">
        <f t="shared" si="64"/>
        <v>400000</v>
      </c>
      <c r="R203" s="201">
        <f>'[1]NOV''25'!Q206+N203-V203</f>
        <v>0</v>
      </c>
      <c r="S203" s="201">
        <f>'[1]NOV''25'!R206+O203-W203</f>
        <v>0</v>
      </c>
      <c r="T203" s="201">
        <f>'[1]NOV''25'!S206+P203-X203</f>
        <v>0</v>
      </c>
      <c r="U203" s="200">
        <f t="shared" si="70"/>
        <v>0</v>
      </c>
      <c r="V203" s="202">
        <v>250000</v>
      </c>
      <c r="W203" s="203">
        <v>150000</v>
      </c>
      <c r="X203" s="203"/>
      <c r="Y203" s="200">
        <f t="shared" si="68"/>
        <v>400000</v>
      </c>
      <c r="Z203" s="207">
        <f t="shared" si="69"/>
        <v>2000000</v>
      </c>
      <c r="AA203" s="96"/>
      <c r="AB203" s="96" t="e">
        <f>#REF!-#REF!</f>
        <v>#REF!</v>
      </c>
    </row>
    <row r="204" spans="2:28" s="55" customFormat="1" x14ac:dyDescent="0.3">
      <c r="B204" s="191">
        <v>64</v>
      </c>
      <c r="C204" s="192"/>
      <c r="D204" s="192"/>
      <c r="E204" s="219">
        <v>45509</v>
      </c>
      <c r="F204" s="192" t="s">
        <v>374</v>
      </c>
      <c r="G204" s="192" t="s">
        <v>33</v>
      </c>
      <c r="H204" s="194">
        <v>4785000</v>
      </c>
      <c r="I204" s="224"/>
      <c r="J204" s="225">
        <f t="shared" si="63"/>
        <v>16</v>
      </c>
      <c r="K204" s="220">
        <v>24</v>
      </c>
      <c r="L204" s="198">
        <f t="shared" si="60"/>
        <v>0.66666666666666663</v>
      </c>
      <c r="M204" s="194">
        <v>1794375</v>
      </c>
      <c r="N204" s="199">
        <f t="shared" si="66"/>
        <v>199375</v>
      </c>
      <c r="O204" s="226">
        <f t="shared" si="67"/>
        <v>119625</v>
      </c>
      <c r="P204" s="226"/>
      <c r="Q204" s="226">
        <f t="shared" si="64"/>
        <v>319000</v>
      </c>
      <c r="R204" s="201">
        <f>'[1]NOV''25'!Q207+N204-V204</f>
        <v>0</v>
      </c>
      <c r="S204" s="201">
        <f>'[1]NOV''25'!R207+O204-W204</f>
        <v>0</v>
      </c>
      <c r="T204" s="201">
        <f>'[1]NOV''25'!S207+P204-X204</f>
        <v>0</v>
      </c>
      <c r="U204" s="200">
        <f t="shared" si="70"/>
        <v>0</v>
      </c>
      <c r="V204" s="202">
        <v>199375</v>
      </c>
      <c r="W204" s="203">
        <v>119625</v>
      </c>
      <c r="X204" s="203"/>
      <c r="Y204" s="200">
        <f t="shared" si="68"/>
        <v>319000</v>
      </c>
      <c r="Z204" s="207">
        <f t="shared" si="69"/>
        <v>1595000</v>
      </c>
      <c r="AA204" s="96"/>
      <c r="AB204" s="96" t="e">
        <f>#REF!-#REF!</f>
        <v>#REF!</v>
      </c>
    </row>
    <row r="205" spans="2:28" s="55" customFormat="1" x14ac:dyDescent="0.3">
      <c r="B205" s="191">
        <v>65</v>
      </c>
      <c r="C205" s="192"/>
      <c r="D205" s="192"/>
      <c r="E205" s="219">
        <v>45509</v>
      </c>
      <c r="F205" s="192" t="s">
        <v>375</v>
      </c>
      <c r="G205" s="192" t="s">
        <v>171</v>
      </c>
      <c r="H205" s="194">
        <v>3100000</v>
      </c>
      <c r="I205" s="224"/>
      <c r="J205" s="225">
        <f t="shared" si="63"/>
        <v>16.000000000000004</v>
      </c>
      <c r="K205" s="220">
        <v>24</v>
      </c>
      <c r="L205" s="198">
        <f t="shared" ref="L205:L268" si="71">J205/K205</f>
        <v>0.66666666666666685</v>
      </c>
      <c r="M205" s="194">
        <v>1162500</v>
      </c>
      <c r="N205" s="199">
        <f t="shared" si="66"/>
        <v>129166.66666666667</v>
      </c>
      <c r="O205" s="226">
        <f t="shared" si="67"/>
        <v>77500</v>
      </c>
      <c r="P205" s="226"/>
      <c r="Q205" s="226">
        <f t="shared" si="64"/>
        <v>206666.66666666669</v>
      </c>
      <c r="R205" s="201">
        <f>'[1]NOV''25'!Q208+N205-V205</f>
        <v>-3.3469405025243759E-10</v>
      </c>
      <c r="S205" s="201">
        <f>'[1]NOV''25'!R208+O205-W205</f>
        <v>0</v>
      </c>
      <c r="T205" s="201">
        <f>'[1]NOV''25'!S208+P205-X205</f>
        <v>0</v>
      </c>
      <c r="U205" s="200">
        <f t="shared" si="70"/>
        <v>-3.3469405025243759E-10</v>
      </c>
      <c r="V205" s="202">
        <v>129166.66666666701</v>
      </c>
      <c r="W205" s="203">
        <v>77500</v>
      </c>
      <c r="X205" s="203"/>
      <c r="Y205" s="200">
        <f t="shared" si="68"/>
        <v>206666.66666666701</v>
      </c>
      <c r="Z205" s="207">
        <f t="shared" si="69"/>
        <v>1033333.333333333</v>
      </c>
      <c r="AA205" s="96"/>
      <c r="AB205" s="96" t="e">
        <f>#REF!-#REF!</f>
        <v>#REF!</v>
      </c>
    </row>
    <row r="206" spans="2:28" s="55" customFormat="1" x14ac:dyDescent="0.3">
      <c r="B206" s="191">
        <v>66</v>
      </c>
      <c r="C206" s="192"/>
      <c r="D206" s="192"/>
      <c r="E206" s="219">
        <v>45509</v>
      </c>
      <c r="F206" s="243" t="s">
        <v>376</v>
      </c>
      <c r="G206" s="244" t="s">
        <v>171</v>
      </c>
      <c r="H206" s="245">
        <v>2200000</v>
      </c>
      <c r="I206" s="246"/>
      <c r="J206" s="225">
        <f t="shared" si="63"/>
        <v>16</v>
      </c>
      <c r="K206" s="220">
        <v>24</v>
      </c>
      <c r="L206" s="198">
        <f t="shared" si="71"/>
        <v>0.66666666666666663</v>
      </c>
      <c r="M206" s="194">
        <v>825000</v>
      </c>
      <c r="N206" s="199">
        <f t="shared" si="66"/>
        <v>91666.666666666672</v>
      </c>
      <c r="O206" s="226">
        <f t="shared" si="67"/>
        <v>55000</v>
      </c>
      <c r="P206" s="226"/>
      <c r="Q206" s="226">
        <f t="shared" si="64"/>
        <v>146666.66666666669</v>
      </c>
      <c r="R206" s="201">
        <f>'[1]NOV''25'!Q209+N206-V206</f>
        <v>0</v>
      </c>
      <c r="S206" s="201">
        <f>'[1]NOV''25'!R209+O206-W206</f>
        <v>0</v>
      </c>
      <c r="T206" s="201">
        <f>'[1]NOV''25'!S209+P206-X206</f>
        <v>0</v>
      </c>
      <c r="U206" s="200">
        <f t="shared" si="70"/>
        <v>0</v>
      </c>
      <c r="V206" s="202">
        <v>91666.666666666701</v>
      </c>
      <c r="W206" s="203">
        <v>55000</v>
      </c>
      <c r="X206" s="203"/>
      <c r="Y206" s="200">
        <f t="shared" si="68"/>
        <v>146666.66666666669</v>
      </c>
      <c r="Z206" s="207">
        <f t="shared" si="69"/>
        <v>733333.33333333326</v>
      </c>
      <c r="AA206" s="96"/>
      <c r="AB206" s="96" t="e">
        <f>#REF!-#REF!</f>
        <v>#REF!</v>
      </c>
    </row>
    <row r="207" spans="2:28" s="55" customFormat="1" x14ac:dyDescent="0.3">
      <c r="B207" s="191">
        <v>67</v>
      </c>
      <c r="C207" s="192"/>
      <c r="D207" s="192"/>
      <c r="E207" s="219">
        <v>45509</v>
      </c>
      <c r="F207" s="192" t="s">
        <v>377</v>
      </c>
      <c r="G207" s="192" t="s">
        <v>33</v>
      </c>
      <c r="H207" s="194">
        <v>2416500</v>
      </c>
      <c r="I207" s="224"/>
      <c r="J207" s="225">
        <f t="shared" si="63"/>
        <v>15.999995034140285</v>
      </c>
      <c r="K207" s="220">
        <v>24</v>
      </c>
      <c r="L207" s="198">
        <f t="shared" si="71"/>
        <v>0.66666645975584526</v>
      </c>
      <c r="M207" s="194">
        <v>906188</v>
      </c>
      <c r="N207" s="199">
        <f t="shared" si="66"/>
        <v>100687.5</v>
      </c>
      <c r="O207" s="226">
        <f t="shared" si="67"/>
        <v>60412.5</v>
      </c>
      <c r="P207" s="226"/>
      <c r="Q207" s="226">
        <f t="shared" si="64"/>
        <v>161100</v>
      </c>
      <c r="R207" s="201">
        <f>'[1]NOV''25'!Q210+N207-V207</f>
        <v>0</v>
      </c>
      <c r="S207" s="201">
        <f>'[1]NOV''25'!R210+O207-W207</f>
        <v>0</v>
      </c>
      <c r="T207" s="201">
        <f>'[1]NOV''25'!S210+P207-X207</f>
        <v>0</v>
      </c>
      <c r="U207" s="200">
        <f t="shared" si="70"/>
        <v>0</v>
      </c>
      <c r="V207" s="202">
        <v>100687.5</v>
      </c>
      <c r="W207" s="203">
        <v>60412.5</v>
      </c>
      <c r="X207" s="203"/>
      <c r="Y207" s="200">
        <f t="shared" si="68"/>
        <v>161100</v>
      </c>
      <c r="Z207" s="207">
        <f t="shared" si="69"/>
        <v>805500.5</v>
      </c>
      <c r="AA207" s="96"/>
      <c r="AB207" s="96" t="e">
        <f>#REF!-#REF!</f>
        <v>#REF!</v>
      </c>
    </row>
    <row r="208" spans="2:28" s="55" customFormat="1" x14ac:dyDescent="0.3">
      <c r="B208" s="191">
        <v>68</v>
      </c>
      <c r="C208" s="192"/>
      <c r="D208" s="192"/>
      <c r="E208" s="219">
        <v>45509</v>
      </c>
      <c r="F208" s="192" t="s">
        <v>378</v>
      </c>
      <c r="G208" s="192" t="s">
        <v>33</v>
      </c>
      <c r="H208" s="194">
        <v>6000000</v>
      </c>
      <c r="I208" s="224"/>
      <c r="J208" s="225">
        <f t="shared" si="63"/>
        <v>16</v>
      </c>
      <c r="K208" s="220">
        <v>24</v>
      </c>
      <c r="L208" s="198">
        <f t="shared" si="71"/>
        <v>0.66666666666666663</v>
      </c>
      <c r="M208" s="194">
        <v>2250000</v>
      </c>
      <c r="N208" s="199">
        <f t="shared" si="66"/>
        <v>250000</v>
      </c>
      <c r="O208" s="226">
        <f t="shared" si="67"/>
        <v>150000</v>
      </c>
      <c r="P208" s="226"/>
      <c r="Q208" s="226">
        <f t="shared" si="64"/>
        <v>400000</v>
      </c>
      <c r="R208" s="201">
        <f>'[1]NOV''25'!Q211+N208-V208</f>
        <v>0</v>
      </c>
      <c r="S208" s="201">
        <f>'[1]NOV''25'!R211+O208-W208</f>
        <v>0</v>
      </c>
      <c r="T208" s="201">
        <f>'[1]NOV''25'!S211+P208-X208</f>
        <v>0</v>
      </c>
      <c r="U208" s="200">
        <f t="shared" si="70"/>
        <v>0</v>
      </c>
      <c r="V208" s="202">
        <v>250000</v>
      </c>
      <c r="W208" s="203">
        <v>150000</v>
      </c>
      <c r="X208" s="203"/>
      <c r="Y208" s="200">
        <f t="shared" si="68"/>
        <v>400000</v>
      </c>
      <c r="Z208" s="207">
        <f t="shared" si="69"/>
        <v>2000000</v>
      </c>
      <c r="AA208" s="96"/>
      <c r="AB208" s="96" t="e">
        <f>#REF!-#REF!</f>
        <v>#REF!</v>
      </c>
    </row>
    <row r="209" spans="1:28" s="55" customFormat="1" x14ac:dyDescent="0.3">
      <c r="B209" s="191">
        <v>69</v>
      </c>
      <c r="C209" s="192"/>
      <c r="D209" s="192"/>
      <c r="E209" s="219">
        <v>45509</v>
      </c>
      <c r="F209" s="192" t="s">
        <v>379</v>
      </c>
      <c r="G209" s="192" t="s">
        <v>33</v>
      </c>
      <c r="H209" s="194">
        <v>4260000</v>
      </c>
      <c r="I209" s="224"/>
      <c r="J209" s="225">
        <f t="shared" si="63"/>
        <v>15.553763380281691</v>
      </c>
      <c r="K209" s="220">
        <v>24</v>
      </c>
      <c r="L209" s="198">
        <f t="shared" si="71"/>
        <v>0.64807347417840377</v>
      </c>
      <c r="M209" s="194">
        <v>1597500</v>
      </c>
      <c r="N209" s="199">
        <f t="shared" si="66"/>
        <v>177500</v>
      </c>
      <c r="O209" s="226">
        <f t="shared" si="67"/>
        <v>106500</v>
      </c>
      <c r="P209" s="226"/>
      <c r="Q209" s="226">
        <f t="shared" si="64"/>
        <v>284000</v>
      </c>
      <c r="R209" s="201">
        <f>'[1]NOV''25'!Q212+N209-V209</f>
        <v>79207</v>
      </c>
      <c r="S209" s="201">
        <f>'[1]NOV''25'!R212+O209-W209</f>
        <v>0</v>
      </c>
      <c r="T209" s="201">
        <f>'[1]NOV''25'!S212+P209-X209</f>
        <v>0</v>
      </c>
      <c r="U209" s="200">
        <f t="shared" si="70"/>
        <v>79207</v>
      </c>
      <c r="V209" s="202">
        <v>98293</v>
      </c>
      <c r="W209" s="203">
        <v>106500</v>
      </c>
      <c r="X209" s="203"/>
      <c r="Y209" s="200">
        <f t="shared" si="68"/>
        <v>204793</v>
      </c>
      <c r="Z209" s="207">
        <f t="shared" si="69"/>
        <v>1499207</v>
      </c>
      <c r="AA209" s="96"/>
      <c r="AB209" s="96" t="e">
        <f>#REF!-#REF!</f>
        <v>#REF!</v>
      </c>
    </row>
    <row r="210" spans="1:28" s="55" customFormat="1" x14ac:dyDescent="0.3">
      <c r="B210" s="191">
        <v>70</v>
      </c>
      <c r="C210" s="192"/>
      <c r="D210" s="192"/>
      <c r="E210" s="219">
        <v>45509</v>
      </c>
      <c r="F210" s="192" t="s">
        <v>380</v>
      </c>
      <c r="G210" s="192" t="s">
        <v>219</v>
      </c>
      <c r="H210" s="194">
        <v>2685000</v>
      </c>
      <c r="I210" s="224"/>
      <c r="J210" s="225">
        <f t="shared" si="63"/>
        <v>16</v>
      </c>
      <c r="K210" s="220">
        <v>24</v>
      </c>
      <c r="L210" s="198">
        <f t="shared" si="71"/>
        <v>0.66666666666666663</v>
      </c>
      <c r="M210" s="194">
        <v>1006875</v>
      </c>
      <c r="N210" s="199">
        <f t="shared" si="66"/>
        <v>111875</v>
      </c>
      <c r="O210" s="226">
        <f t="shared" si="67"/>
        <v>67125</v>
      </c>
      <c r="P210" s="226"/>
      <c r="Q210" s="226">
        <f t="shared" si="64"/>
        <v>179000</v>
      </c>
      <c r="R210" s="201">
        <f>'[1]NOV''25'!Q213+N210-V210</f>
        <v>0</v>
      </c>
      <c r="S210" s="201">
        <f>'[1]NOV''25'!R213+O210-W210</f>
        <v>0</v>
      </c>
      <c r="T210" s="201">
        <f>'[1]NOV''25'!S213+P210-X210</f>
        <v>0</v>
      </c>
      <c r="U210" s="200">
        <f t="shared" si="70"/>
        <v>0</v>
      </c>
      <c r="V210" s="202">
        <v>111875</v>
      </c>
      <c r="W210" s="203">
        <v>67125</v>
      </c>
      <c r="X210" s="203"/>
      <c r="Y210" s="200">
        <f t="shared" si="68"/>
        <v>179000</v>
      </c>
      <c r="Z210" s="207">
        <f t="shared" si="69"/>
        <v>895000</v>
      </c>
      <c r="AA210" s="96"/>
      <c r="AB210" s="96" t="e">
        <f>#REF!-#REF!</f>
        <v>#REF!</v>
      </c>
    </row>
    <row r="211" spans="1:28" s="55" customFormat="1" x14ac:dyDescent="0.3">
      <c r="B211" s="191">
        <v>71</v>
      </c>
      <c r="C211" s="192"/>
      <c r="D211" s="192"/>
      <c r="E211" s="219">
        <v>45511</v>
      </c>
      <c r="F211" s="192" t="s">
        <v>381</v>
      </c>
      <c r="G211" s="192" t="s">
        <v>191</v>
      </c>
      <c r="H211" s="194">
        <v>7350000</v>
      </c>
      <c r="I211" s="224"/>
      <c r="J211" s="225">
        <f t="shared" ref="J211:J274" si="72">(H211-Z211)/N211</f>
        <v>16</v>
      </c>
      <c r="K211" s="220">
        <v>24</v>
      </c>
      <c r="L211" s="198">
        <f t="shared" si="71"/>
        <v>0.66666666666666663</v>
      </c>
      <c r="M211" s="194">
        <v>3062500</v>
      </c>
      <c r="N211" s="199">
        <f t="shared" si="66"/>
        <v>306250</v>
      </c>
      <c r="O211" s="226">
        <f t="shared" si="67"/>
        <v>183750</v>
      </c>
      <c r="P211" s="226"/>
      <c r="Q211" s="226">
        <f t="shared" ref="Q211:Q274" si="73">+N211+O211</f>
        <v>490000</v>
      </c>
      <c r="R211" s="201">
        <f>'[1]NOV''25'!Q214+N211-V211</f>
        <v>0</v>
      </c>
      <c r="S211" s="201">
        <f>'[1]NOV''25'!R214+O211-W211</f>
        <v>0</v>
      </c>
      <c r="T211" s="201">
        <f>'[1]NOV''25'!S214+P211-X211</f>
        <v>0</v>
      </c>
      <c r="U211" s="200">
        <f t="shared" si="70"/>
        <v>0</v>
      </c>
      <c r="V211" s="202">
        <f>306250+306250</f>
        <v>612500</v>
      </c>
      <c r="W211" s="203">
        <f>183750+183750</f>
        <v>367500</v>
      </c>
      <c r="X211" s="203"/>
      <c r="Y211" s="200">
        <f t="shared" si="68"/>
        <v>980000</v>
      </c>
      <c r="Z211" s="207">
        <f t="shared" si="69"/>
        <v>2450000</v>
      </c>
      <c r="AA211" s="96"/>
      <c r="AB211" s="96" t="e">
        <f>#REF!-#REF!</f>
        <v>#REF!</v>
      </c>
    </row>
    <row r="212" spans="1:28" s="150" customFormat="1" x14ac:dyDescent="0.3">
      <c r="B212" s="100">
        <v>72</v>
      </c>
      <c r="C212" s="101"/>
      <c r="D212" s="101"/>
      <c r="E212" s="142">
        <v>45511</v>
      </c>
      <c r="F212" s="101" t="s">
        <v>382</v>
      </c>
      <c r="G212" s="101" t="s">
        <v>383</v>
      </c>
      <c r="H212" s="107">
        <v>8805000</v>
      </c>
      <c r="I212" s="118"/>
      <c r="J212" s="149">
        <f t="shared" si="72"/>
        <v>16</v>
      </c>
      <c r="K212" s="143">
        <v>24</v>
      </c>
      <c r="L212" s="106">
        <f t="shared" si="71"/>
        <v>0.66666666666666663</v>
      </c>
      <c r="M212" s="107">
        <v>3301875</v>
      </c>
      <c r="N212" s="108">
        <f t="shared" ref="N212:N275" si="74">SUM(H212/K212)</f>
        <v>366875</v>
      </c>
      <c r="O212" s="109">
        <f t="shared" ref="O212:O275" si="75">SUM(H212*2.5/100)</f>
        <v>220125</v>
      </c>
      <c r="P212" s="109"/>
      <c r="Q212" s="109">
        <f t="shared" si="73"/>
        <v>587000</v>
      </c>
      <c r="R212" s="146">
        <f>'[1]NOV''25'!Q215+N212-V212</f>
        <v>0</v>
      </c>
      <c r="S212" s="146">
        <f>'[1]NOV''25'!R215+O212-W212</f>
        <v>0</v>
      </c>
      <c r="T212" s="146">
        <f>'[1]NOV''25'!S215+P212-X212</f>
        <v>0</v>
      </c>
      <c r="U212" s="109">
        <f t="shared" si="70"/>
        <v>0</v>
      </c>
      <c r="V212" s="110">
        <v>366875</v>
      </c>
      <c r="W212" s="111">
        <v>220125</v>
      </c>
      <c r="X212" s="111"/>
      <c r="Y212" s="109">
        <f t="shared" ref="Y212:Y275" si="76">+V212+W212+X212</f>
        <v>587000</v>
      </c>
      <c r="Z212" s="141">
        <f t="shared" si="69"/>
        <v>2935000</v>
      </c>
      <c r="AA212" s="152" t="s">
        <v>151</v>
      </c>
      <c r="AB212" s="96" t="e">
        <f>#REF!-#REF!</f>
        <v>#REF!</v>
      </c>
    </row>
    <row r="213" spans="1:28" s="55" customFormat="1" x14ac:dyDescent="0.3">
      <c r="B213" s="191">
        <v>73</v>
      </c>
      <c r="C213" s="192"/>
      <c r="D213" s="192"/>
      <c r="E213" s="219">
        <v>45513</v>
      </c>
      <c r="F213" s="192" t="s">
        <v>384</v>
      </c>
      <c r="G213" s="192" t="s">
        <v>185</v>
      </c>
      <c r="H213" s="194">
        <v>2490000</v>
      </c>
      <c r="I213" s="224"/>
      <c r="J213" s="225">
        <f t="shared" si="72"/>
        <v>16</v>
      </c>
      <c r="K213" s="220">
        <v>24</v>
      </c>
      <c r="L213" s="198">
        <f t="shared" si="71"/>
        <v>0.66666666666666663</v>
      </c>
      <c r="M213" s="194">
        <v>933750</v>
      </c>
      <c r="N213" s="199">
        <f t="shared" si="74"/>
        <v>103750</v>
      </c>
      <c r="O213" s="226">
        <f t="shared" si="75"/>
        <v>62250</v>
      </c>
      <c r="P213" s="226"/>
      <c r="Q213" s="226">
        <f t="shared" si="73"/>
        <v>166000</v>
      </c>
      <c r="R213" s="201">
        <f>'[1]NOV''25'!Q216+N213-V213</f>
        <v>0</v>
      </c>
      <c r="S213" s="201">
        <f>'[1]NOV''25'!R216+O213-W213</f>
        <v>0</v>
      </c>
      <c r="T213" s="201">
        <f>'[1]NOV''25'!S216+P213-X213</f>
        <v>0</v>
      </c>
      <c r="U213" s="200">
        <f t="shared" si="70"/>
        <v>0</v>
      </c>
      <c r="V213" s="202">
        <v>103750</v>
      </c>
      <c r="W213" s="203">
        <v>62250</v>
      </c>
      <c r="X213" s="203"/>
      <c r="Y213" s="200">
        <f t="shared" si="76"/>
        <v>166000</v>
      </c>
      <c r="Z213" s="207">
        <f t="shared" si="69"/>
        <v>830000</v>
      </c>
      <c r="AA213" s="96"/>
      <c r="AB213" s="96" t="e">
        <f>#REF!-#REF!</f>
        <v>#REF!</v>
      </c>
    </row>
    <row r="214" spans="1:28" s="55" customFormat="1" x14ac:dyDescent="0.3">
      <c r="B214" s="191">
        <v>74</v>
      </c>
      <c r="C214" s="192"/>
      <c r="D214" s="192"/>
      <c r="E214" s="219">
        <v>45516</v>
      </c>
      <c r="F214" s="192" t="s">
        <v>385</v>
      </c>
      <c r="G214" s="192" t="s">
        <v>185</v>
      </c>
      <c r="H214" s="194">
        <v>3555000</v>
      </c>
      <c r="I214" s="224"/>
      <c r="J214" s="225">
        <f t="shared" si="72"/>
        <v>16</v>
      </c>
      <c r="K214" s="220">
        <v>24</v>
      </c>
      <c r="L214" s="198">
        <f t="shared" si="71"/>
        <v>0.66666666666666663</v>
      </c>
      <c r="M214" s="194">
        <v>1333125</v>
      </c>
      <c r="N214" s="199">
        <f t="shared" si="74"/>
        <v>148125</v>
      </c>
      <c r="O214" s="226">
        <f t="shared" si="75"/>
        <v>88875</v>
      </c>
      <c r="P214" s="226"/>
      <c r="Q214" s="226">
        <f t="shared" si="73"/>
        <v>237000</v>
      </c>
      <c r="R214" s="201">
        <f>'[1]NOV''25'!Q217+N214-V214</f>
        <v>0</v>
      </c>
      <c r="S214" s="201">
        <f>'[1]NOV''25'!R217+O214-W214</f>
        <v>0</v>
      </c>
      <c r="T214" s="201">
        <f>'[1]NOV''25'!S217+P214-X214</f>
        <v>0</v>
      </c>
      <c r="U214" s="200">
        <f t="shared" si="70"/>
        <v>0</v>
      </c>
      <c r="V214" s="202">
        <v>148125</v>
      </c>
      <c r="W214" s="203">
        <v>88875</v>
      </c>
      <c r="X214" s="203"/>
      <c r="Y214" s="200">
        <f t="shared" si="76"/>
        <v>237000</v>
      </c>
      <c r="Z214" s="207">
        <f t="shared" si="69"/>
        <v>1185000</v>
      </c>
      <c r="AA214" s="96"/>
      <c r="AB214" s="96" t="e">
        <f>#REF!-#REF!</f>
        <v>#REF!</v>
      </c>
    </row>
    <row r="215" spans="1:28" s="55" customFormat="1" x14ac:dyDescent="0.3">
      <c r="B215" s="191">
        <v>75</v>
      </c>
      <c r="C215" s="192"/>
      <c r="D215" s="192"/>
      <c r="E215" s="219">
        <v>45516</v>
      </c>
      <c r="F215" s="192" t="s">
        <v>386</v>
      </c>
      <c r="G215" s="192" t="s">
        <v>387</v>
      </c>
      <c r="H215" s="194">
        <v>3500000</v>
      </c>
      <c r="I215" s="224"/>
      <c r="J215" s="225">
        <f t="shared" si="72"/>
        <v>15.999999999999996</v>
      </c>
      <c r="K215" s="220">
        <v>24</v>
      </c>
      <c r="L215" s="198">
        <f t="shared" si="71"/>
        <v>0.66666666666666652</v>
      </c>
      <c r="M215" s="194">
        <v>1312500</v>
      </c>
      <c r="N215" s="199">
        <f t="shared" si="74"/>
        <v>145833.33333333334</v>
      </c>
      <c r="O215" s="226">
        <f t="shared" si="75"/>
        <v>87500</v>
      </c>
      <c r="P215" s="226"/>
      <c r="Q215" s="226">
        <f t="shared" si="73"/>
        <v>233333.33333333334</v>
      </c>
      <c r="R215" s="201">
        <f>'[1]NOV''25'!Q218+N215-V215</f>
        <v>3.4924596548080444E-10</v>
      </c>
      <c r="S215" s="201">
        <f>'[1]NOV''25'!R218+O215-W215</f>
        <v>0</v>
      </c>
      <c r="T215" s="201">
        <f>'[1]NOV''25'!S218+P215-X215</f>
        <v>0</v>
      </c>
      <c r="U215" s="200">
        <f t="shared" si="70"/>
        <v>3.4924596548080444E-10</v>
      </c>
      <c r="V215" s="202">
        <v>145833.33333333299</v>
      </c>
      <c r="W215" s="203">
        <v>87500</v>
      </c>
      <c r="X215" s="203"/>
      <c r="Y215" s="200">
        <f t="shared" si="76"/>
        <v>233333.33333333299</v>
      </c>
      <c r="Z215" s="207">
        <f t="shared" si="69"/>
        <v>1166666.666666667</v>
      </c>
      <c r="AA215" s="96"/>
      <c r="AB215" s="96" t="e">
        <f>#REF!-#REF!</f>
        <v>#REF!</v>
      </c>
    </row>
    <row r="216" spans="1:28" s="55" customFormat="1" x14ac:dyDescent="0.3">
      <c r="B216" s="191">
        <v>77</v>
      </c>
      <c r="C216" s="192"/>
      <c r="D216" s="192"/>
      <c r="E216" s="219">
        <v>45517</v>
      </c>
      <c r="F216" s="192" t="s">
        <v>388</v>
      </c>
      <c r="G216" s="192" t="s">
        <v>33</v>
      </c>
      <c r="H216" s="194">
        <v>5100000</v>
      </c>
      <c r="I216" s="224"/>
      <c r="J216" s="225">
        <f t="shared" si="72"/>
        <v>16</v>
      </c>
      <c r="K216" s="220">
        <v>24</v>
      </c>
      <c r="L216" s="198">
        <f t="shared" si="71"/>
        <v>0.66666666666666663</v>
      </c>
      <c r="M216" s="194">
        <v>1912500</v>
      </c>
      <c r="N216" s="199">
        <f t="shared" si="74"/>
        <v>212500</v>
      </c>
      <c r="O216" s="226">
        <f t="shared" si="75"/>
        <v>127500</v>
      </c>
      <c r="P216" s="226"/>
      <c r="Q216" s="226">
        <f t="shared" si="73"/>
        <v>340000</v>
      </c>
      <c r="R216" s="201">
        <f>'[1]NOV''25'!Q220+N216-V216</f>
        <v>0</v>
      </c>
      <c r="S216" s="201">
        <f>'[1]NOV''25'!R220+O216-W216</f>
        <v>0</v>
      </c>
      <c r="T216" s="201">
        <f>'[1]NOV''25'!S220+P216-X216</f>
        <v>0</v>
      </c>
      <c r="U216" s="200">
        <f t="shared" si="70"/>
        <v>0</v>
      </c>
      <c r="V216" s="202">
        <v>212500</v>
      </c>
      <c r="W216" s="203">
        <v>127500</v>
      </c>
      <c r="X216" s="203"/>
      <c r="Y216" s="200">
        <f t="shared" si="76"/>
        <v>340000</v>
      </c>
      <c r="Z216" s="207">
        <f t="shared" si="69"/>
        <v>1700000</v>
      </c>
      <c r="AA216" s="96"/>
      <c r="AB216" s="96" t="e">
        <f>#REF!-#REF!</f>
        <v>#REF!</v>
      </c>
    </row>
    <row r="217" spans="1:28" s="55" customFormat="1" x14ac:dyDescent="0.3">
      <c r="B217" s="191">
        <v>78</v>
      </c>
      <c r="C217" s="205" t="s">
        <v>389</v>
      </c>
      <c r="D217" s="192"/>
      <c r="E217" s="219">
        <v>45518</v>
      </c>
      <c r="F217" s="192" t="s">
        <v>390</v>
      </c>
      <c r="G217" s="192" t="s">
        <v>33</v>
      </c>
      <c r="H217" s="194">
        <v>4200000</v>
      </c>
      <c r="I217" s="224"/>
      <c r="J217" s="225">
        <f t="shared" si="72"/>
        <v>16</v>
      </c>
      <c r="K217" s="220">
        <v>24</v>
      </c>
      <c r="L217" s="198">
        <f t="shared" si="71"/>
        <v>0.66666666666666663</v>
      </c>
      <c r="M217" s="194">
        <v>1575000</v>
      </c>
      <c r="N217" s="199">
        <f t="shared" si="74"/>
        <v>175000</v>
      </c>
      <c r="O217" s="226">
        <f t="shared" si="75"/>
        <v>105000</v>
      </c>
      <c r="P217" s="226"/>
      <c r="Q217" s="226">
        <f t="shared" si="73"/>
        <v>280000</v>
      </c>
      <c r="R217" s="201">
        <f>'[1]NOV''25'!Q221+N217-V217</f>
        <v>0</v>
      </c>
      <c r="S217" s="201">
        <f>'[1]NOV''25'!R221+O217-W217</f>
        <v>0</v>
      </c>
      <c r="T217" s="201">
        <f>'[1]NOV''25'!S221+P217-X217</f>
        <v>0</v>
      </c>
      <c r="U217" s="200">
        <f t="shared" si="70"/>
        <v>0</v>
      </c>
      <c r="V217" s="202">
        <v>175000</v>
      </c>
      <c r="W217" s="203">
        <v>105000</v>
      </c>
      <c r="X217" s="203"/>
      <c r="Y217" s="200">
        <f t="shared" si="76"/>
        <v>280000</v>
      </c>
      <c r="Z217" s="207">
        <f t="shared" si="69"/>
        <v>1400000</v>
      </c>
      <c r="AA217" s="96"/>
      <c r="AB217" s="96" t="e">
        <f>#REF!-#REF!</f>
        <v>#REF!</v>
      </c>
    </row>
    <row r="218" spans="1:28" s="55" customFormat="1" x14ac:dyDescent="0.3">
      <c r="B218" s="191">
        <v>79</v>
      </c>
      <c r="C218" s="192"/>
      <c r="D218" s="192"/>
      <c r="E218" s="219">
        <v>45518</v>
      </c>
      <c r="F218" s="192" t="s">
        <v>391</v>
      </c>
      <c r="G218" s="192" t="s">
        <v>33</v>
      </c>
      <c r="H218" s="194">
        <v>4500000</v>
      </c>
      <c r="I218" s="224"/>
      <c r="J218" s="225">
        <f t="shared" si="72"/>
        <v>16</v>
      </c>
      <c r="K218" s="220">
        <v>24</v>
      </c>
      <c r="L218" s="198">
        <f t="shared" si="71"/>
        <v>0.66666666666666663</v>
      </c>
      <c r="M218" s="194">
        <v>1687500</v>
      </c>
      <c r="N218" s="199">
        <f t="shared" si="74"/>
        <v>187500</v>
      </c>
      <c r="O218" s="226">
        <f t="shared" si="75"/>
        <v>112500</v>
      </c>
      <c r="P218" s="226"/>
      <c r="Q218" s="226">
        <f t="shared" si="73"/>
        <v>300000</v>
      </c>
      <c r="R218" s="201">
        <f>'[1]NOV''25'!Q222+N218-V218</f>
        <v>0</v>
      </c>
      <c r="S218" s="201">
        <f>'[1]NOV''25'!R222+O218-W218</f>
        <v>0</v>
      </c>
      <c r="T218" s="201">
        <f>'[1]NOV''25'!S222+P218-X218</f>
        <v>0</v>
      </c>
      <c r="U218" s="200">
        <f t="shared" si="70"/>
        <v>0</v>
      </c>
      <c r="V218" s="202">
        <v>187500</v>
      </c>
      <c r="W218" s="203">
        <v>112500</v>
      </c>
      <c r="X218" s="203"/>
      <c r="Y218" s="200">
        <f t="shared" si="76"/>
        <v>300000</v>
      </c>
      <c r="Z218" s="207">
        <f t="shared" si="69"/>
        <v>1500000</v>
      </c>
      <c r="AA218" s="96"/>
      <c r="AB218" s="96" t="e">
        <f>#REF!-#REF!</f>
        <v>#REF!</v>
      </c>
    </row>
    <row r="219" spans="1:28" s="55" customFormat="1" x14ac:dyDescent="0.3">
      <c r="B219" s="191">
        <v>80</v>
      </c>
      <c r="C219" s="192"/>
      <c r="D219" s="192"/>
      <c r="E219" s="219">
        <v>45519</v>
      </c>
      <c r="F219" s="192" t="s">
        <v>392</v>
      </c>
      <c r="G219" s="192" t="s">
        <v>33</v>
      </c>
      <c r="H219" s="194">
        <v>2400000</v>
      </c>
      <c r="I219" s="224"/>
      <c r="J219" s="225">
        <f t="shared" si="72"/>
        <v>16</v>
      </c>
      <c r="K219" s="220">
        <v>24</v>
      </c>
      <c r="L219" s="198">
        <f t="shared" si="71"/>
        <v>0.66666666666666663</v>
      </c>
      <c r="M219" s="194">
        <v>900000</v>
      </c>
      <c r="N219" s="199">
        <f t="shared" si="74"/>
        <v>100000</v>
      </c>
      <c r="O219" s="226">
        <f t="shared" si="75"/>
        <v>60000</v>
      </c>
      <c r="P219" s="226"/>
      <c r="Q219" s="226">
        <f t="shared" si="73"/>
        <v>160000</v>
      </c>
      <c r="R219" s="201">
        <f>'[1]NOV''25'!Q223+N219-V219</f>
        <v>0</v>
      </c>
      <c r="S219" s="201">
        <f>'[1]NOV''25'!R223+O219-W219</f>
        <v>0</v>
      </c>
      <c r="T219" s="201">
        <f>'[1]NOV''25'!S223+P219-X219</f>
        <v>0</v>
      </c>
      <c r="U219" s="200">
        <f t="shared" si="70"/>
        <v>0</v>
      </c>
      <c r="V219" s="202">
        <v>100000</v>
      </c>
      <c r="W219" s="203">
        <v>60000</v>
      </c>
      <c r="X219" s="203"/>
      <c r="Y219" s="200">
        <f t="shared" si="76"/>
        <v>160000</v>
      </c>
      <c r="Z219" s="207">
        <f t="shared" si="69"/>
        <v>800000</v>
      </c>
      <c r="AA219" s="96"/>
      <c r="AB219" s="96" t="e">
        <f>#REF!-#REF!</f>
        <v>#REF!</v>
      </c>
    </row>
    <row r="220" spans="1:28" s="55" customFormat="1" x14ac:dyDescent="0.3">
      <c r="A220" s="55" t="s">
        <v>143</v>
      </c>
      <c r="B220" s="191">
        <v>81</v>
      </c>
      <c r="C220" s="192"/>
      <c r="D220" s="192"/>
      <c r="E220" s="219">
        <v>45520</v>
      </c>
      <c r="F220" s="192" t="s">
        <v>393</v>
      </c>
      <c r="G220" s="192" t="s">
        <v>191</v>
      </c>
      <c r="H220" s="194">
        <v>7350000</v>
      </c>
      <c r="I220" s="224"/>
      <c r="J220" s="206">
        <f t="shared" si="72"/>
        <v>16</v>
      </c>
      <c r="K220" s="220">
        <v>24</v>
      </c>
      <c r="L220" s="198">
        <f t="shared" si="71"/>
        <v>0.66666666666666663</v>
      </c>
      <c r="M220" s="194">
        <v>2756250</v>
      </c>
      <c r="N220" s="199">
        <f t="shared" si="74"/>
        <v>306250</v>
      </c>
      <c r="O220" s="226">
        <f t="shared" si="75"/>
        <v>183750</v>
      </c>
      <c r="P220" s="226"/>
      <c r="Q220" s="226">
        <f t="shared" si="73"/>
        <v>490000</v>
      </c>
      <c r="R220" s="201">
        <f>'[1]NOV''25'!Q224+N220-V220</f>
        <v>0</v>
      </c>
      <c r="S220" s="201">
        <f>'[1]NOV''25'!R224+O220-W220</f>
        <v>0</v>
      </c>
      <c r="T220" s="201">
        <f>'[1]NOV''25'!S224+P220-X220</f>
        <v>0</v>
      </c>
      <c r="U220" s="200">
        <f t="shared" si="70"/>
        <v>0</v>
      </c>
      <c r="V220" s="202">
        <v>306250</v>
      </c>
      <c r="W220" s="203">
        <v>183750</v>
      </c>
      <c r="X220" s="203"/>
      <c r="Y220" s="200">
        <f t="shared" si="76"/>
        <v>490000</v>
      </c>
      <c r="Z220" s="207">
        <f t="shared" si="69"/>
        <v>2450000</v>
      </c>
      <c r="AA220" s="96"/>
      <c r="AB220" s="96" t="e">
        <f>#REF!-#REF!</f>
        <v>#REF!</v>
      </c>
    </row>
    <row r="221" spans="1:28" s="55" customFormat="1" x14ac:dyDescent="0.3">
      <c r="B221" s="191">
        <v>82</v>
      </c>
      <c r="C221" s="192"/>
      <c r="D221" s="192"/>
      <c r="E221" s="219">
        <v>45523</v>
      </c>
      <c r="F221" s="192" t="s">
        <v>394</v>
      </c>
      <c r="G221" s="192" t="s">
        <v>282</v>
      </c>
      <c r="H221" s="194">
        <v>20600000</v>
      </c>
      <c r="I221" s="224"/>
      <c r="J221" s="225">
        <f t="shared" si="72"/>
        <v>15.999999999999998</v>
      </c>
      <c r="K221" s="220">
        <v>24</v>
      </c>
      <c r="L221" s="198">
        <f t="shared" si="71"/>
        <v>0.66666666666666663</v>
      </c>
      <c r="M221" s="194">
        <v>7725000</v>
      </c>
      <c r="N221" s="199">
        <f t="shared" si="74"/>
        <v>858333.33333333337</v>
      </c>
      <c r="O221" s="226">
        <f t="shared" si="75"/>
        <v>515000</v>
      </c>
      <c r="P221" s="226"/>
      <c r="Q221" s="226">
        <f t="shared" si="73"/>
        <v>1373333.3333333335</v>
      </c>
      <c r="R221" s="201">
        <f>'[1]NOV''25'!Q225+N221-V221</f>
        <v>0</v>
      </c>
      <c r="S221" s="201">
        <f>'[1]NOV''25'!R225+O221-W221</f>
        <v>0</v>
      </c>
      <c r="T221" s="201">
        <f>'[1]NOV''25'!S225+P221-X221</f>
        <v>0</v>
      </c>
      <c r="U221" s="200">
        <f t="shared" si="70"/>
        <v>0</v>
      </c>
      <c r="V221" s="202">
        <v>858333.33333333302</v>
      </c>
      <c r="W221" s="203">
        <v>515000</v>
      </c>
      <c r="X221" s="203"/>
      <c r="Y221" s="200">
        <f t="shared" si="76"/>
        <v>1373333.333333333</v>
      </c>
      <c r="Z221" s="207">
        <f t="shared" si="69"/>
        <v>6866666.666666667</v>
      </c>
      <c r="AA221" s="96"/>
      <c r="AB221" s="96" t="e">
        <f>#REF!-#REF!</f>
        <v>#REF!</v>
      </c>
    </row>
    <row r="222" spans="1:28" s="55" customFormat="1" x14ac:dyDescent="0.3">
      <c r="B222" s="191">
        <v>83</v>
      </c>
      <c r="C222" s="192"/>
      <c r="D222" s="192"/>
      <c r="E222" s="219">
        <v>45525</v>
      </c>
      <c r="F222" s="192" t="s">
        <v>395</v>
      </c>
      <c r="G222" s="192" t="s">
        <v>38</v>
      </c>
      <c r="H222" s="194">
        <v>10000000</v>
      </c>
      <c r="I222" s="224"/>
      <c r="J222" s="225">
        <f t="shared" si="72"/>
        <v>16</v>
      </c>
      <c r="K222" s="220">
        <v>24</v>
      </c>
      <c r="L222" s="198">
        <f t="shared" si="71"/>
        <v>0.66666666666666663</v>
      </c>
      <c r="M222" s="194">
        <v>3750000</v>
      </c>
      <c r="N222" s="199">
        <f t="shared" si="74"/>
        <v>416666.66666666669</v>
      </c>
      <c r="O222" s="226">
        <f t="shared" si="75"/>
        <v>250000</v>
      </c>
      <c r="P222" s="226"/>
      <c r="Q222" s="226">
        <f t="shared" si="73"/>
        <v>666666.66666666674</v>
      </c>
      <c r="R222" s="201">
        <f>'[1]NOV''25'!Q226+N222-V222</f>
        <v>0</v>
      </c>
      <c r="S222" s="201">
        <f>'[1]NOV''25'!R226+O222-W222</f>
        <v>0</v>
      </c>
      <c r="T222" s="201">
        <f>'[1]NOV''25'!S226+P222-X222</f>
        <v>0</v>
      </c>
      <c r="U222" s="200">
        <f t="shared" si="70"/>
        <v>0</v>
      </c>
      <c r="V222" s="202">
        <v>416666.66666666698</v>
      </c>
      <c r="W222" s="203">
        <v>250000</v>
      </c>
      <c r="X222" s="203"/>
      <c r="Y222" s="200">
        <f t="shared" si="76"/>
        <v>666666.66666666698</v>
      </c>
      <c r="Z222" s="207">
        <f t="shared" si="69"/>
        <v>3333333.333333333</v>
      </c>
      <c r="AA222" s="96"/>
      <c r="AB222" s="96" t="e">
        <f>#REF!-#REF!</f>
        <v>#REF!</v>
      </c>
    </row>
    <row r="223" spans="1:28" s="55" customFormat="1" x14ac:dyDescent="0.3">
      <c r="B223" s="191">
        <v>84</v>
      </c>
      <c r="C223" s="192"/>
      <c r="D223" s="192"/>
      <c r="E223" s="243">
        <v>45525</v>
      </c>
      <c r="F223" s="192" t="s">
        <v>396</v>
      </c>
      <c r="G223" s="192" t="s">
        <v>33</v>
      </c>
      <c r="H223" s="194">
        <v>11100000</v>
      </c>
      <c r="I223" s="224"/>
      <c r="J223" s="225">
        <f t="shared" si="72"/>
        <v>16.058378378378379</v>
      </c>
      <c r="K223" s="220">
        <v>24</v>
      </c>
      <c r="L223" s="198">
        <f t="shared" si="71"/>
        <v>0.66909909909909915</v>
      </c>
      <c r="M223" s="194">
        <v>4135500</v>
      </c>
      <c r="N223" s="199">
        <f t="shared" si="74"/>
        <v>462500</v>
      </c>
      <c r="O223" s="226">
        <f t="shared" si="75"/>
        <v>277500</v>
      </c>
      <c r="P223" s="226"/>
      <c r="Q223" s="226">
        <f t="shared" si="73"/>
        <v>740000</v>
      </c>
      <c r="R223" s="201">
        <f>'[1]NOV''25'!Q227+N223-V223</f>
        <v>0</v>
      </c>
      <c r="S223" s="201">
        <f>'[1]NOV''25'!R227+O223-W223</f>
        <v>0</v>
      </c>
      <c r="T223" s="201">
        <f>'[1]NOV''25'!S227+P223-X223</f>
        <v>0</v>
      </c>
      <c r="U223" s="200">
        <f t="shared" si="70"/>
        <v>0</v>
      </c>
      <c r="V223" s="202">
        <v>462500</v>
      </c>
      <c r="W223" s="203">
        <v>277500</v>
      </c>
      <c r="X223" s="203"/>
      <c r="Y223" s="200">
        <f t="shared" si="76"/>
        <v>740000</v>
      </c>
      <c r="Z223" s="207">
        <f t="shared" si="69"/>
        <v>3673000</v>
      </c>
      <c r="AA223" s="96"/>
      <c r="AB223" s="96" t="e">
        <f>#REF!-#REF!</f>
        <v>#REF!</v>
      </c>
    </row>
    <row r="224" spans="1:28" s="55" customFormat="1" x14ac:dyDescent="0.3">
      <c r="B224" s="191">
        <v>86</v>
      </c>
      <c r="C224" s="192"/>
      <c r="D224" s="192"/>
      <c r="E224" s="243">
        <v>45527</v>
      </c>
      <c r="F224" s="192" t="s">
        <v>397</v>
      </c>
      <c r="G224" s="192" t="s">
        <v>33</v>
      </c>
      <c r="H224" s="194">
        <v>2400000</v>
      </c>
      <c r="I224" s="224"/>
      <c r="J224" s="225">
        <f t="shared" si="72"/>
        <v>16</v>
      </c>
      <c r="K224" s="220">
        <v>24</v>
      </c>
      <c r="L224" s="198">
        <f t="shared" si="71"/>
        <v>0.66666666666666663</v>
      </c>
      <c r="M224" s="194">
        <v>900000</v>
      </c>
      <c r="N224" s="199">
        <f t="shared" si="74"/>
        <v>100000</v>
      </c>
      <c r="O224" s="226">
        <f t="shared" si="75"/>
        <v>60000</v>
      </c>
      <c r="P224" s="226"/>
      <c r="Q224" s="200">
        <f t="shared" si="73"/>
        <v>160000</v>
      </c>
      <c r="R224" s="201">
        <f>'[1]NOV''25'!Q228+N224-V224</f>
        <v>0</v>
      </c>
      <c r="S224" s="201">
        <f>'[1]NOV''25'!R228+O224-W224</f>
        <v>0</v>
      </c>
      <c r="T224" s="201">
        <f>'[1]NOV''25'!S228+P224-X224</f>
        <v>0</v>
      </c>
      <c r="U224" s="200">
        <f t="shared" si="70"/>
        <v>0</v>
      </c>
      <c r="V224" s="202">
        <v>100000</v>
      </c>
      <c r="W224" s="203">
        <v>60000</v>
      </c>
      <c r="X224" s="203"/>
      <c r="Y224" s="200">
        <f t="shared" si="76"/>
        <v>160000</v>
      </c>
      <c r="Z224" s="207">
        <f t="shared" si="69"/>
        <v>800000</v>
      </c>
      <c r="AA224" s="96"/>
      <c r="AB224" s="96" t="e">
        <f>#REF!-#REF!</f>
        <v>#REF!</v>
      </c>
    </row>
    <row r="225" spans="2:28" s="55" customFormat="1" x14ac:dyDescent="0.3">
      <c r="B225" s="191">
        <v>87</v>
      </c>
      <c r="C225" s="192"/>
      <c r="D225" s="192"/>
      <c r="E225" s="243">
        <v>45531</v>
      </c>
      <c r="F225" s="192" t="s">
        <v>398</v>
      </c>
      <c r="G225" s="192" t="s">
        <v>122</v>
      </c>
      <c r="H225" s="194">
        <v>4000000</v>
      </c>
      <c r="I225" s="224"/>
      <c r="J225" s="225">
        <f t="shared" si="72"/>
        <v>16</v>
      </c>
      <c r="K225" s="220">
        <v>20</v>
      </c>
      <c r="L225" s="198">
        <f t="shared" si="71"/>
        <v>0.8</v>
      </c>
      <c r="M225" s="194">
        <v>1000000</v>
      </c>
      <c r="N225" s="199">
        <f t="shared" si="74"/>
        <v>200000</v>
      </c>
      <c r="O225" s="226">
        <f t="shared" si="75"/>
        <v>100000</v>
      </c>
      <c r="P225" s="226"/>
      <c r="Q225" s="200">
        <f t="shared" si="73"/>
        <v>300000</v>
      </c>
      <c r="R225" s="201">
        <f>'[1]NOV''25'!Q229+N225-V225</f>
        <v>0</v>
      </c>
      <c r="S225" s="201">
        <f>'[1]NOV''25'!R229+O225-W225</f>
        <v>0</v>
      </c>
      <c r="T225" s="201">
        <f>'[1]NOV''25'!S229+P225-X225</f>
        <v>0</v>
      </c>
      <c r="U225" s="200">
        <f t="shared" si="70"/>
        <v>0</v>
      </c>
      <c r="V225" s="202">
        <v>200000</v>
      </c>
      <c r="W225" s="203">
        <v>100000</v>
      </c>
      <c r="X225" s="203"/>
      <c r="Y225" s="200">
        <f t="shared" si="76"/>
        <v>300000</v>
      </c>
      <c r="Z225" s="207">
        <f t="shared" si="69"/>
        <v>800000</v>
      </c>
      <c r="AA225" s="96"/>
      <c r="AB225" s="96" t="e">
        <f>#REF!-#REF!</f>
        <v>#REF!</v>
      </c>
    </row>
    <row r="226" spans="2:28" s="55" customFormat="1" x14ac:dyDescent="0.3">
      <c r="B226" s="191">
        <v>88</v>
      </c>
      <c r="C226" s="192"/>
      <c r="D226" s="192"/>
      <c r="E226" s="243">
        <v>45532</v>
      </c>
      <c r="F226" s="192" t="s">
        <v>399</v>
      </c>
      <c r="G226" s="192" t="s">
        <v>282</v>
      </c>
      <c r="H226" s="194">
        <v>4200000</v>
      </c>
      <c r="I226" s="224"/>
      <c r="J226" s="225">
        <f t="shared" si="72"/>
        <v>15</v>
      </c>
      <c r="K226" s="220">
        <v>24</v>
      </c>
      <c r="L226" s="198">
        <f t="shared" si="71"/>
        <v>0.625</v>
      </c>
      <c r="M226" s="194">
        <v>1575000</v>
      </c>
      <c r="N226" s="199">
        <f t="shared" si="74"/>
        <v>175000</v>
      </c>
      <c r="O226" s="226">
        <f t="shared" si="75"/>
        <v>105000</v>
      </c>
      <c r="P226" s="226"/>
      <c r="Q226" s="200">
        <f t="shared" si="73"/>
        <v>280000</v>
      </c>
      <c r="R226" s="201">
        <f>'[1]NOV''25'!Q230+N226-V226</f>
        <v>175000</v>
      </c>
      <c r="S226" s="201">
        <f>'[1]NOV''25'!R230+O226-W226</f>
        <v>105000</v>
      </c>
      <c r="T226" s="201">
        <f>'[1]NOV''25'!S230+P226-X226</f>
        <v>0</v>
      </c>
      <c r="U226" s="200">
        <f t="shared" si="70"/>
        <v>280000</v>
      </c>
      <c r="V226" s="202"/>
      <c r="W226" s="203"/>
      <c r="X226" s="203"/>
      <c r="Y226" s="200">
        <f t="shared" si="76"/>
        <v>0</v>
      </c>
      <c r="Z226" s="207">
        <f t="shared" si="69"/>
        <v>1575000</v>
      </c>
      <c r="AA226" s="96" t="s">
        <v>400</v>
      </c>
      <c r="AB226" s="96" t="e">
        <f>#REF!-#REF!</f>
        <v>#REF!</v>
      </c>
    </row>
    <row r="227" spans="2:28" s="55" customFormat="1" x14ac:dyDescent="0.3">
      <c r="B227" s="191">
        <v>89</v>
      </c>
      <c r="C227" s="192"/>
      <c r="D227" s="192"/>
      <c r="E227" s="208">
        <v>45537</v>
      </c>
      <c r="F227" s="192" t="s">
        <v>401</v>
      </c>
      <c r="G227" s="209" t="s">
        <v>219</v>
      </c>
      <c r="H227" s="194">
        <v>2000000</v>
      </c>
      <c r="I227" s="224"/>
      <c r="J227" s="225">
        <f t="shared" si="72"/>
        <v>15.000004000000001</v>
      </c>
      <c r="K227" s="210">
        <v>24</v>
      </c>
      <c r="L227" s="198">
        <f t="shared" si="71"/>
        <v>0.62500016666666669</v>
      </c>
      <c r="M227" s="194">
        <v>833333</v>
      </c>
      <c r="N227" s="199">
        <f t="shared" si="74"/>
        <v>83333.333333333328</v>
      </c>
      <c r="O227" s="226">
        <f t="shared" si="75"/>
        <v>50000</v>
      </c>
      <c r="P227" s="226"/>
      <c r="Q227" s="226">
        <f t="shared" si="73"/>
        <v>133333.33333333331</v>
      </c>
      <c r="R227" s="201">
        <f>'[1]NOV''25'!Q231+N227-V227</f>
        <v>0</v>
      </c>
      <c r="S227" s="201">
        <f>'[1]NOV''25'!R231+O227-W227</f>
        <v>0</v>
      </c>
      <c r="T227" s="201">
        <f>'[1]NOV''25'!S231+P227-X227</f>
        <v>0</v>
      </c>
      <c r="U227" s="200">
        <f t="shared" si="70"/>
        <v>0</v>
      </c>
      <c r="V227" s="202">
        <v>83333.333333333299</v>
      </c>
      <c r="W227" s="203">
        <v>50000</v>
      </c>
      <c r="X227" s="203"/>
      <c r="Y227" s="200">
        <f t="shared" si="76"/>
        <v>133333.33333333331</v>
      </c>
      <c r="Z227" s="207">
        <f t="shared" si="69"/>
        <v>749999.66666666674</v>
      </c>
      <c r="AA227" s="96"/>
      <c r="AB227" s="96" t="e">
        <f>#REF!-#REF!</f>
        <v>#REF!</v>
      </c>
    </row>
    <row r="228" spans="2:28" s="55" customFormat="1" x14ac:dyDescent="0.3">
      <c r="B228" s="191">
        <v>90</v>
      </c>
      <c r="C228" s="192"/>
      <c r="D228" s="192"/>
      <c r="E228" s="208">
        <v>45537</v>
      </c>
      <c r="F228" s="192" t="s">
        <v>402</v>
      </c>
      <c r="G228" s="209" t="s">
        <v>33</v>
      </c>
      <c r="H228" s="194">
        <v>5175000</v>
      </c>
      <c r="I228" s="224"/>
      <c r="J228" s="225">
        <f t="shared" si="72"/>
        <v>14</v>
      </c>
      <c r="K228" s="210">
        <v>24</v>
      </c>
      <c r="L228" s="198">
        <f t="shared" si="71"/>
        <v>0.58333333333333337</v>
      </c>
      <c r="M228" s="194">
        <v>2371875</v>
      </c>
      <c r="N228" s="199">
        <f t="shared" si="74"/>
        <v>215625</v>
      </c>
      <c r="O228" s="226">
        <f t="shared" si="75"/>
        <v>129375</v>
      </c>
      <c r="P228" s="226"/>
      <c r="Q228" s="226">
        <f t="shared" si="73"/>
        <v>345000</v>
      </c>
      <c r="R228" s="201">
        <f>'[1]NOV''25'!Q232+N228-V228</f>
        <v>215625</v>
      </c>
      <c r="S228" s="201">
        <f>'[1]NOV''25'!R232+O228-W228</f>
        <v>18796</v>
      </c>
      <c r="T228" s="201">
        <f>'[1]NOV''25'!S232+P228-X228</f>
        <v>0</v>
      </c>
      <c r="U228" s="200">
        <f t="shared" si="70"/>
        <v>234421</v>
      </c>
      <c r="V228" s="202">
        <v>215625</v>
      </c>
      <c r="W228" s="203">
        <f>129375+110579</f>
        <v>239954</v>
      </c>
      <c r="X228" s="203"/>
      <c r="Y228" s="200">
        <f t="shared" si="76"/>
        <v>455579</v>
      </c>
      <c r="Z228" s="207">
        <f t="shared" si="69"/>
        <v>2156250</v>
      </c>
      <c r="AA228" s="96"/>
      <c r="AB228" s="96" t="e">
        <f>#REF!-#REF!</f>
        <v>#REF!</v>
      </c>
    </row>
    <row r="229" spans="2:28" s="55" customFormat="1" x14ac:dyDescent="0.3">
      <c r="B229" s="191">
        <v>91</v>
      </c>
      <c r="C229" s="192"/>
      <c r="D229" s="192"/>
      <c r="E229" s="208">
        <v>45537</v>
      </c>
      <c r="F229" s="192" t="s">
        <v>403</v>
      </c>
      <c r="G229" s="209" t="s">
        <v>27</v>
      </c>
      <c r="H229" s="194">
        <v>1625000</v>
      </c>
      <c r="I229" s="224"/>
      <c r="J229" s="225">
        <f t="shared" si="72"/>
        <v>15.000004923076922</v>
      </c>
      <c r="K229" s="210">
        <v>24</v>
      </c>
      <c r="L229" s="198">
        <f t="shared" si="71"/>
        <v>0.62500020512820509</v>
      </c>
      <c r="M229" s="194">
        <v>677083</v>
      </c>
      <c r="N229" s="199">
        <f t="shared" si="74"/>
        <v>67708.333333333328</v>
      </c>
      <c r="O229" s="226">
        <f t="shared" si="75"/>
        <v>40625</v>
      </c>
      <c r="P229" s="226"/>
      <c r="Q229" s="226">
        <f t="shared" si="73"/>
        <v>108333.33333333333</v>
      </c>
      <c r="R229" s="201">
        <f>'[1]NOV''25'!Q233+N229-V229</f>
        <v>0</v>
      </c>
      <c r="S229" s="201">
        <f>'[1]NOV''25'!R233+O229-W229</f>
        <v>0</v>
      </c>
      <c r="T229" s="201">
        <f>'[1]NOV''25'!S233+P229-X229</f>
        <v>0</v>
      </c>
      <c r="U229" s="200">
        <f t="shared" si="70"/>
        <v>0</v>
      </c>
      <c r="V229" s="202">
        <v>67708.333333333299</v>
      </c>
      <c r="W229" s="203">
        <v>40625</v>
      </c>
      <c r="X229" s="203"/>
      <c r="Y229" s="200">
        <f t="shared" si="76"/>
        <v>108333.3333333333</v>
      </c>
      <c r="Z229" s="207">
        <f t="shared" si="69"/>
        <v>609374.66666666674</v>
      </c>
      <c r="AA229" s="96"/>
      <c r="AB229" s="96" t="e">
        <f>#REF!-#REF!</f>
        <v>#REF!</v>
      </c>
    </row>
    <row r="230" spans="2:28" s="55" customFormat="1" x14ac:dyDescent="0.3">
      <c r="B230" s="191">
        <v>92</v>
      </c>
      <c r="C230" s="192"/>
      <c r="D230" s="192"/>
      <c r="E230" s="208">
        <v>45537</v>
      </c>
      <c r="F230" s="192" t="s">
        <v>404</v>
      </c>
      <c r="G230" s="209" t="s">
        <v>33</v>
      </c>
      <c r="H230" s="194">
        <v>7866000</v>
      </c>
      <c r="I230" s="224"/>
      <c r="J230" s="225">
        <f t="shared" si="72"/>
        <v>15</v>
      </c>
      <c r="K230" s="210">
        <v>20</v>
      </c>
      <c r="L230" s="198">
        <f t="shared" si="71"/>
        <v>0.75</v>
      </c>
      <c r="M230" s="194">
        <v>2359800</v>
      </c>
      <c r="N230" s="199">
        <f t="shared" si="74"/>
        <v>393300</v>
      </c>
      <c r="O230" s="226">
        <f t="shared" si="75"/>
        <v>196650</v>
      </c>
      <c r="P230" s="226"/>
      <c r="Q230" s="226">
        <f t="shared" si="73"/>
        <v>589950</v>
      </c>
      <c r="R230" s="201">
        <f>'[1]NOV''25'!Q234+N230-V230</f>
        <v>0</v>
      </c>
      <c r="S230" s="201">
        <f>'[1]NOV''25'!R234+O230-W230</f>
        <v>0</v>
      </c>
      <c r="T230" s="201">
        <f>'[1]NOV''25'!S234+P230-X230</f>
        <v>0</v>
      </c>
      <c r="U230" s="200">
        <f t="shared" si="70"/>
        <v>0</v>
      </c>
      <c r="V230" s="202">
        <v>393300</v>
      </c>
      <c r="W230" s="203">
        <v>196650</v>
      </c>
      <c r="X230" s="203"/>
      <c r="Y230" s="200">
        <f t="shared" si="76"/>
        <v>589950</v>
      </c>
      <c r="Z230" s="207">
        <f t="shared" si="69"/>
        <v>1966500</v>
      </c>
      <c r="AA230" s="96"/>
      <c r="AB230" s="96" t="e">
        <f>#REF!-#REF!</f>
        <v>#REF!</v>
      </c>
    </row>
    <row r="231" spans="2:28" s="55" customFormat="1" x14ac:dyDescent="0.3">
      <c r="B231" s="191">
        <v>93</v>
      </c>
      <c r="C231" s="192"/>
      <c r="D231" s="192"/>
      <c r="E231" s="208">
        <v>45537</v>
      </c>
      <c r="F231" s="192" t="s">
        <v>405</v>
      </c>
      <c r="G231" s="209" t="s">
        <v>27</v>
      </c>
      <c r="H231" s="194">
        <v>6500000</v>
      </c>
      <c r="I231" s="224"/>
      <c r="J231" s="225">
        <f t="shared" si="72"/>
        <v>15.000001230769231</v>
      </c>
      <c r="K231" s="210">
        <v>24</v>
      </c>
      <c r="L231" s="198">
        <f t="shared" si="71"/>
        <v>0.62500005128205127</v>
      </c>
      <c r="M231" s="194">
        <v>2708333</v>
      </c>
      <c r="N231" s="199">
        <f t="shared" si="74"/>
        <v>270833.33333333331</v>
      </c>
      <c r="O231" s="226">
        <f t="shared" si="75"/>
        <v>162500</v>
      </c>
      <c r="P231" s="226"/>
      <c r="Q231" s="226">
        <f t="shared" si="73"/>
        <v>433333.33333333331</v>
      </c>
      <c r="R231" s="201">
        <f>'[1]NOV''25'!Q235+N231-V231</f>
        <v>0</v>
      </c>
      <c r="S231" s="201">
        <f>'[1]NOV''25'!R235+O231-W231</f>
        <v>0</v>
      </c>
      <c r="T231" s="201">
        <f>'[1]NOV''25'!S235+P231-X231</f>
        <v>0</v>
      </c>
      <c r="U231" s="200">
        <f t="shared" si="70"/>
        <v>0</v>
      </c>
      <c r="V231" s="202">
        <v>270833.33333333302</v>
      </c>
      <c r="W231" s="203">
        <v>162500</v>
      </c>
      <c r="X231" s="203"/>
      <c r="Y231" s="200">
        <f t="shared" si="76"/>
        <v>433333.33333333302</v>
      </c>
      <c r="Z231" s="207">
        <f t="shared" si="69"/>
        <v>2437499.666666667</v>
      </c>
      <c r="AA231" s="96"/>
      <c r="AB231" s="96" t="e">
        <f>#REF!-#REF!</f>
        <v>#REF!</v>
      </c>
    </row>
    <row r="232" spans="2:28" s="55" customFormat="1" x14ac:dyDescent="0.3">
      <c r="B232" s="191">
        <v>94</v>
      </c>
      <c r="C232" s="192"/>
      <c r="D232" s="192"/>
      <c r="E232" s="208">
        <v>45537</v>
      </c>
      <c r="F232" s="192" t="s">
        <v>406</v>
      </c>
      <c r="G232" s="209" t="s">
        <v>48</v>
      </c>
      <c r="H232" s="194">
        <v>2400000</v>
      </c>
      <c r="I232" s="224"/>
      <c r="J232" s="225">
        <f t="shared" si="72"/>
        <v>15</v>
      </c>
      <c r="K232" s="210">
        <v>24</v>
      </c>
      <c r="L232" s="198">
        <f t="shared" si="71"/>
        <v>0.625</v>
      </c>
      <c r="M232" s="194">
        <v>1000000</v>
      </c>
      <c r="N232" s="199">
        <f t="shared" si="74"/>
        <v>100000</v>
      </c>
      <c r="O232" s="226">
        <f t="shared" si="75"/>
        <v>60000</v>
      </c>
      <c r="P232" s="226"/>
      <c r="Q232" s="226">
        <f t="shared" si="73"/>
        <v>160000</v>
      </c>
      <c r="R232" s="201">
        <f>'[1]NOV''25'!Q236+N232-V232</f>
        <v>0</v>
      </c>
      <c r="S232" s="201">
        <f>'[1]NOV''25'!R236+O232-W232</f>
        <v>0</v>
      </c>
      <c r="T232" s="201">
        <f>'[1]NOV''25'!S236+P232-X232</f>
        <v>0</v>
      </c>
      <c r="U232" s="200">
        <f t="shared" si="70"/>
        <v>0</v>
      </c>
      <c r="V232" s="202">
        <v>100000</v>
      </c>
      <c r="W232" s="203">
        <v>60000</v>
      </c>
      <c r="X232" s="203"/>
      <c r="Y232" s="200">
        <f t="shared" si="76"/>
        <v>160000</v>
      </c>
      <c r="Z232" s="207">
        <f t="shared" si="69"/>
        <v>900000</v>
      </c>
      <c r="AA232" s="96"/>
      <c r="AB232" s="96" t="e">
        <f>#REF!-#REF!</f>
        <v>#REF!</v>
      </c>
    </row>
    <row r="233" spans="2:28" s="55" customFormat="1" x14ac:dyDescent="0.3">
      <c r="B233" s="191">
        <v>95</v>
      </c>
      <c r="C233" s="192"/>
      <c r="D233" s="192"/>
      <c r="E233" s="208">
        <v>45538</v>
      </c>
      <c r="F233" s="192" t="s">
        <v>407</v>
      </c>
      <c r="G233" s="209" t="s">
        <v>191</v>
      </c>
      <c r="H233" s="194">
        <v>2400000</v>
      </c>
      <c r="I233" s="224"/>
      <c r="J233" s="225">
        <f t="shared" si="72"/>
        <v>15</v>
      </c>
      <c r="K233" s="210">
        <v>24</v>
      </c>
      <c r="L233" s="198">
        <f t="shared" si="71"/>
        <v>0.625</v>
      </c>
      <c r="M233" s="194">
        <v>1000000</v>
      </c>
      <c r="N233" s="199">
        <f t="shared" si="74"/>
        <v>100000</v>
      </c>
      <c r="O233" s="226">
        <f t="shared" si="75"/>
        <v>60000</v>
      </c>
      <c r="P233" s="226"/>
      <c r="Q233" s="226">
        <f t="shared" si="73"/>
        <v>160000</v>
      </c>
      <c r="R233" s="201">
        <f>'[1]NOV''25'!Q237+N233-V233</f>
        <v>0</v>
      </c>
      <c r="S233" s="201">
        <f>'[1]NOV''25'!R237+O233-W233</f>
        <v>0</v>
      </c>
      <c r="T233" s="201">
        <f>'[1]NOV''25'!S237+P233-X233</f>
        <v>0</v>
      </c>
      <c r="U233" s="200">
        <f t="shared" si="70"/>
        <v>0</v>
      </c>
      <c r="V233" s="202">
        <v>100000</v>
      </c>
      <c r="W233" s="203">
        <v>60000</v>
      </c>
      <c r="X233" s="203"/>
      <c r="Y233" s="200">
        <f t="shared" si="76"/>
        <v>160000</v>
      </c>
      <c r="Z233" s="207">
        <f t="shared" si="69"/>
        <v>900000</v>
      </c>
      <c r="AA233" s="96"/>
      <c r="AB233" s="96" t="e">
        <f>#REF!-#REF!</f>
        <v>#REF!</v>
      </c>
    </row>
    <row r="234" spans="2:28" s="55" customFormat="1" x14ac:dyDescent="0.3">
      <c r="B234" s="191">
        <v>96</v>
      </c>
      <c r="C234" s="192"/>
      <c r="D234" s="192"/>
      <c r="E234" s="208">
        <v>45538</v>
      </c>
      <c r="F234" s="192" t="s">
        <v>408</v>
      </c>
      <c r="G234" s="209" t="s">
        <v>100</v>
      </c>
      <c r="H234" s="194">
        <v>2357655</v>
      </c>
      <c r="I234" s="224"/>
      <c r="J234" s="225">
        <f t="shared" si="72"/>
        <v>15</v>
      </c>
      <c r="K234" s="210">
        <v>24</v>
      </c>
      <c r="L234" s="198">
        <f t="shared" si="71"/>
        <v>0.625</v>
      </c>
      <c r="M234" s="194">
        <v>982356.25</v>
      </c>
      <c r="N234" s="199">
        <f t="shared" si="74"/>
        <v>98235.625</v>
      </c>
      <c r="O234" s="226">
        <f t="shared" si="75"/>
        <v>58941.375</v>
      </c>
      <c r="P234" s="226"/>
      <c r="Q234" s="226">
        <f t="shared" si="73"/>
        <v>157177</v>
      </c>
      <c r="R234" s="201">
        <f>'[1]NOV''25'!Q238+N234-V234</f>
        <v>0</v>
      </c>
      <c r="S234" s="201">
        <f>'[1]NOV''25'!R238+O234-W234</f>
        <v>0</v>
      </c>
      <c r="T234" s="201">
        <f>'[1]NOV''25'!S238+P234-X234</f>
        <v>0</v>
      </c>
      <c r="U234" s="200">
        <f t="shared" si="70"/>
        <v>0</v>
      </c>
      <c r="V234" s="202">
        <v>98235.625</v>
      </c>
      <c r="W234" s="203">
        <v>58941.375</v>
      </c>
      <c r="X234" s="203"/>
      <c r="Y234" s="200">
        <f t="shared" si="76"/>
        <v>157177</v>
      </c>
      <c r="Z234" s="207">
        <f t="shared" si="69"/>
        <v>884120.625</v>
      </c>
      <c r="AA234" s="96"/>
      <c r="AB234" s="96" t="e">
        <f>#REF!-#REF!</f>
        <v>#REF!</v>
      </c>
    </row>
    <row r="235" spans="2:28" s="55" customFormat="1" x14ac:dyDescent="0.3">
      <c r="B235" s="191">
        <v>97</v>
      </c>
      <c r="C235" s="192"/>
      <c r="D235" s="192"/>
      <c r="E235" s="208">
        <v>45538</v>
      </c>
      <c r="F235" s="192" t="s">
        <v>409</v>
      </c>
      <c r="G235" s="209" t="s">
        <v>185</v>
      </c>
      <c r="H235" s="194">
        <v>8100000</v>
      </c>
      <c r="I235" s="224"/>
      <c r="J235" s="225">
        <f t="shared" si="72"/>
        <v>15</v>
      </c>
      <c r="K235" s="210">
        <v>24</v>
      </c>
      <c r="L235" s="198">
        <f t="shared" si="71"/>
        <v>0.625</v>
      </c>
      <c r="M235" s="194">
        <v>3375000</v>
      </c>
      <c r="N235" s="199">
        <f t="shared" si="74"/>
        <v>337500</v>
      </c>
      <c r="O235" s="226">
        <f t="shared" si="75"/>
        <v>202500</v>
      </c>
      <c r="P235" s="226"/>
      <c r="Q235" s="226">
        <f t="shared" si="73"/>
        <v>540000</v>
      </c>
      <c r="R235" s="201">
        <f>'[1]NOV''25'!Q239+N235-V235</f>
        <v>0</v>
      </c>
      <c r="S235" s="201">
        <f>'[1]NOV''25'!R239+O235-W235</f>
        <v>0</v>
      </c>
      <c r="T235" s="201">
        <f>'[1]NOV''25'!S239+P235-X235</f>
        <v>0</v>
      </c>
      <c r="U235" s="200">
        <f t="shared" si="70"/>
        <v>0</v>
      </c>
      <c r="V235" s="202">
        <v>337500</v>
      </c>
      <c r="W235" s="203">
        <v>202500</v>
      </c>
      <c r="X235" s="203"/>
      <c r="Y235" s="200">
        <f t="shared" si="76"/>
        <v>540000</v>
      </c>
      <c r="Z235" s="207">
        <f t="shared" si="69"/>
        <v>3037500</v>
      </c>
      <c r="AA235" s="96"/>
      <c r="AB235" s="96" t="e">
        <f>#REF!-#REF!</f>
        <v>#REF!</v>
      </c>
    </row>
    <row r="236" spans="2:28" s="55" customFormat="1" x14ac:dyDescent="0.3">
      <c r="B236" s="191">
        <v>98</v>
      </c>
      <c r="C236" s="192"/>
      <c r="D236" s="192"/>
      <c r="E236" s="208">
        <v>45538</v>
      </c>
      <c r="F236" s="192" t="s">
        <v>410</v>
      </c>
      <c r="G236" s="209" t="s">
        <v>33</v>
      </c>
      <c r="H236" s="194">
        <v>2799375</v>
      </c>
      <c r="I236" s="224"/>
      <c r="J236" s="225">
        <f t="shared" si="72"/>
        <v>15.00000321500335</v>
      </c>
      <c r="K236" s="210">
        <v>24</v>
      </c>
      <c r="L236" s="198">
        <f t="shared" si="71"/>
        <v>0.62500013395847287</v>
      </c>
      <c r="M236" s="194">
        <v>1166405.875</v>
      </c>
      <c r="N236" s="199">
        <f t="shared" si="74"/>
        <v>116640.625</v>
      </c>
      <c r="O236" s="226">
        <f t="shared" si="75"/>
        <v>69984.375</v>
      </c>
      <c r="P236" s="226"/>
      <c r="Q236" s="226">
        <f t="shared" si="73"/>
        <v>186625</v>
      </c>
      <c r="R236" s="201">
        <f>'[1]NOV''25'!Q240+N236-V236</f>
        <v>-0.375</v>
      </c>
      <c r="S236" s="201">
        <f>'[1]NOV''25'!R240+O236-W236</f>
        <v>0.375</v>
      </c>
      <c r="T236" s="201">
        <f>'[1]NOV''25'!S240+P236-X236</f>
        <v>0</v>
      </c>
      <c r="U236" s="200">
        <f t="shared" si="70"/>
        <v>0</v>
      </c>
      <c r="V236" s="202">
        <v>116640.625</v>
      </c>
      <c r="W236" s="203">
        <v>69984.375</v>
      </c>
      <c r="X236" s="203"/>
      <c r="Y236" s="200">
        <f t="shared" si="76"/>
        <v>186625</v>
      </c>
      <c r="Z236" s="207">
        <f t="shared" si="69"/>
        <v>1049765.25</v>
      </c>
      <c r="AA236" s="96"/>
      <c r="AB236" s="96" t="e">
        <f>#REF!-#REF!</f>
        <v>#REF!</v>
      </c>
    </row>
    <row r="237" spans="2:28" s="55" customFormat="1" x14ac:dyDescent="0.3">
      <c r="B237" s="191">
        <v>99</v>
      </c>
      <c r="C237" s="192"/>
      <c r="D237" s="192"/>
      <c r="E237" s="208">
        <v>45538</v>
      </c>
      <c r="F237" s="192" t="s">
        <v>411</v>
      </c>
      <c r="G237" s="209" t="s">
        <v>30</v>
      </c>
      <c r="H237" s="194">
        <v>1718445</v>
      </c>
      <c r="I237" s="224"/>
      <c r="J237" s="225">
        <f t="shared" si="72"/>
        <v>14.995796199471034</v>
      </c>
      <c r="K237" s="210">
        <v>24</v>
      </c>
      <c r="L237" s="198">
        <f t="shared" si="71"/>
        <v>0.62482484164462637</v>
      </c>
      <c r="M237" s="194">
        <v>716018.75</v>
      </c>
      <c r="N237" s="199">
        <f t="shared" si="74"/>
        <v>71601.875</v>
      </c>
      <c r="O237" s="226">
        <f t="shared" si="75"/>
        <v>42961.125</v>
      </c>
      <c r="P237" s="226"/>
      <c r="Q237" s="226">
        <f t="shared" si="73"/>
        <v>114563</v>
      </c>
      <c r="R237" s="201">
        <f>'[1]NOV''25'!Q241+N237-V237</f>
        <v>301</v>
      </c>
      <c r="S237" s="201">
        <f>'[1]NOV''25'!R241+O237-W237</f>
        <v>0</v>
      </c>
      <c r="T237" s="201">
        <f>'[1]NOV''25'!S241+P237-X237</f>
        <v>0</v>
      </c>
      <c r="U237" s="200">
        <f t="shared" si="70"/>
        <v>301</v>
      </c>
      <c r="V237" s="202">
        <f>71601.875-301</f>
        <v>71300.875</v>
      </c>
      <c r="W237" s="203">
        <v>42961.125</v>
      </c>
      <c r="X237" s="203"/>
      <c r="Y237" s="200">
        <f t="shared" si="76"/>
        <v>114262</v>
      </c>
      <c r="Z237" s="207">
        <f t="shared" si="69"/>
        <v>644717.875</v>
      </c>
      <c r="AA237" s="96"/>
      <c r="AB237" s="96" t="e">
        <f>#REF!-#REF!</f>
        <v>#REF!</v>
      </c>
    </row>
    <row r="238" spans="2:28" s="55" customFormat="1" x14ac:dyDescent="0.3">
      <c r="B238" s="191">
        <v>100</v>
      </c>
      <c r="C238" s="192"/>
      <c r="D238" s="192"/>
      <c r="E238" s="208">
        <v>45538</v>
      </c>
      <c r="F238" s="192" t="s">
        <v>412</v>
      </c>
      <c r="G238" s="209" t="s">
        <v>413</v>
      </c>
      <c r="H238" s="194">
        <v>5000000</v>
      </c>
      <c r="I238" s="224"/>
      <c r="J238" s="225">
        <f t="shared" si="72"/>
        <v>15.000001599999997</v>
      </c>
      <c r="K238" s="210">
        <v>24</v>
      </c>
      <c r="L238" s="198">
        <f t="shared" si="71"/>
        <v>0.62500006666666652</v>
      </c>
      <c r="M238" s="194">
        <v>2083333</v>
      </c>
      <c r="N238" s="199">
        <f t="shared" si="74"/>
        <v>208333.33333333334</v>
      </c>
      <c r="O238" s="226">
        <f t="shared" si="75"/>
        <v>125000</v>
      </c>
      <c r="P238" s="226"/>
      <c r="Q238" s="226">
        <f t="shared" si="73"/>
        <v>333333.33333333337</v>
      </c>
      <c r="R238" s="201">
        <f>'[1]NOV''25'!Q242+N238-V238</f>
        <v>3.4924596548080444E-10</v>
      </c>
      <c r="S238" s="201">
        <f>'[1]NOV''25'!R242+O238-W238</f>
        <v>0</v>
      </c>
      <c r="T238" s="201">
        <f>'[1]NOV''25'!S242+P238-X238</f>
        <v>0</v>
      </c>
      <c r="U238" s="200">
        <f t="shared" si="70"/>
        <v>3.4924596548080444E-10</v>
      </c>
      <c r="V238" s="202">
        <v>208333.33333333299</v>
      </c>
      <c r="W238" s="203">
        <v>125000</v>
      </c>
      <c r="X238" s="203"/>
      <c r="Y238" s="200">
        <f t="shared" si="76"/>
        <v>333333.33333333302</v>
      </c>
      <c r="Z238" s="207">
        <f t="shared" si="69"/>
        <v>1874999.666666667</v>
      </c>
      <c r="AA238" s="96"/>
      <c r="AB238" s="96" t="e">
        <f>#REF!-#REF!</f>
        <v>#REF!</v>
      </c>
    </row>
    <row r="239" spans="2:28" s="55" customFormat="1" x14ac:dyDescent="0.3">
      <c r="B239" s="191">
        <v>101</v>
      </c>
      <c r="C239" s="192"/>
      <c r="D239" s="192"/>
      <c r="E239" s="208">
        <v>45540</v>
      </c>
      <c r="F239" s="192" t="s">
        <v>414</v>
      </c>
      <c r="G239" s="192" t="s">
        <v>30</v>
      </c>
      <c r="H239" s="194">
        <v>9500000</v>
      </c>
      <c r="I239" s="224"/>
      <c r="J239" s="206">
        <f t="shared" si="72"/>
        <v>15.000000000000007</v>
      </c>
      <c r="K239" s="210">
        <v>24</v>
      </c>
      <c r="L239" s="198">
        <f t="shared" si="71"/>
        <v>0.62500000000000033</v>
      </c>
      <c r="M239" s="194">
        <v>3958333.3333333302</v>
      </c>
      <c r="N239" s="199">
        <f t="shared" si="74"/>
        <v>395833.33333333331</v>
      </c>
      <c r="O239" s="226">
        <f t="shared" si="75"/>
        <v>237500</v>
      </c>
      <c r="P239" s="226"/>
      <c r="Q239" s="226">
        <f t="shared" si="73"/>
        <v>633333.33333333326</v>
      </c>
      <c r="R239" s="201">
        <f>'[1]NOV''25'!Q243+N239-V239</f>
        <v>0.33333333360496908</v>
      </c>
      <c r="S239" s="201">
        <f>'[1]NOV''25'!R243+O239-W239</f>
        <v>0</v>
      </c>
      <c r="T239" s="201">
        <f>'[1]NOV''25'!S243+P239-X239</f>
        <v>0</v>
      </c>
      <c r="U239" s="200">
        <f t="shared" si="70"/>
        <v>0.33333333360496908</v>
      </c>
      <c r="V239" s="202">
        <v>395833.33333333302</v>
      </c>
      <c r="W239" s="203">
        <v>237500</v>
      </c>
      <c r="X239" s="203"/>
      <c r="Y239" s="200">
        <f t="shared" si="76"/>
        <v>633333.33333333302</v>
      </c>
      <c r="Z239" s="207">
        <f t="shared" si="69"/>
        <v>3562499.9999999972</v>
      </c>
      <c r="AA239" s="96"/>
      <c r="AB239" s="96" t="e">
        <f>#REF!-#REF!</f>
        <v>#REF!</v>
      </c>
    </row>
    <row r="240" spans="2:28" s="55" customFormat="1" x14ac:dyDescent="0.3">
      <c r="B240" s="191">
        <v>102</v>
      </c>
      <c r="C240" s="192"/>
      <c r="D240" s="192"/>
      <c r="E240" s="208">
        <v>45540</v>
      </c>
      <c r="F240" s="192" t="s">
        <v>415</v>
      </c>
      <c r="G240" s="192" t="s">
        <v>234</v>
      </c>
      <c r="H240" s="194">
        <v>6000000</v>
      </c>
      <c r="I240" s="224"/>
      <c r="J240" s="206">
        <f t="shared" si="72"/>
        <v>15</v>
      </c>
      <c r="K240" s="210">
        <v>24</v>
      </c>
      <c r="L240" s="198">
        <f t="shared" si="71"/>
        <v>0.625</v>
      </c>
      <c r="M240" s="194">
        <v>2638504</v>
      </c>
      <c r="N240" s="199">
        <f t="shared" si="74"/>
        <v>250000</v>
      </c>
      <c r="O240" s="226">
        <f t="shared" si="75"/>
        <v>150000</v>
      </c>
      <c r="P240" s="226"/>
      <c r="Q240" s="226">
        <f t="shared" si="73"/>
        <v>400000</v>
      </c>
      <c r="R240" s="201">
        <f>'[1]NOV''25'!Q244+N240-V240</f>
        <v>0</v>
      </c>
      <c r="S240" s="201">
        <f>'[1]NOV''25'!R244+O240-W240</f>
        <v>0</v>
      </c>
      <c r="T240" s="201">
        <f>'[1]NOV''25'!S244+P240-X240</f>
        <v>0</v>
      </c>
      <c r="U240" s="200">
        <f t="shared" si="70"/>
        <v>0</v>
      </c>
      <c r="V240" s="202">
        <f>250000+138504</f>
        <v>388504</v>
      </c>
      <c r="W240" s="203">
        <v>150000</v>
      </c>
      <c r="X240" s="203"/>
      <c r="Y240" s="200">
        <f t="shared" si="76"/>
        <v>538504</v>
      </c>
      <c r="Z240" s="207">
        <f t="shared" si="69"/>
        <v>2250000</v>
      </c>
      <c r="AA240" s="96"/>
      <c r="AB240" s="96" t="e">
        <f>#REF!-#REF!</f>
        <v>#REF!</v>
      </c>
    </row>
    <row r="241" spans="2:28" s="55" customFormat="1" x14ac:dyDescent="0.3">
      <c r="B241" s="191">
        <v>103</v>
      </c>
      <c r="C241" s="192"/>
      <c r="D241" s="192"/>
      <c r="E241" s="208">
        <v>45540</v>
      </c>
      <c r="F241" s="192" t="s">
        <v>416</v>
      </c>
      <c r="G241" s="192" t="s">
        <v>352</v>
      </c>
      <c r="H241" s="194">
        <v>12135000</v>
      </c>
      <c r="I241" s="224"/>
      <c r="J241" s="225">
        <f t="shared" si="72"/>
        <v>15</v>
      </c>
      <c r="K241" s="210">
        <v>24</v>
      </c>
      <c r="L241" s="198">
        <f t="shared" si="71"/>
        <v>0.625</v>
      </c>
      <c r="M241" s="194">
        <v>5056250</v>
      </c>
      <c r="N241" s="199">
        <f t="shared" si="74"/>
        <v>505625</v>
      </c>
      <c r="O241" s="226">
        <f t="shared" si="75"/>
        <v>303375</v>
      </c>
      <c r="P241" s="226"/>
      <c r="Q241" s="226">
        <f t="shared" si="73"/>
        <v>809000</v>
      </c>
      <c r="R241" s="201">
        <f>'[1]NOV''25'!Q245+N241-V241</f>
        <v>0</v>
      </c>
      <c r="S241" s="201">
        <f>'[1]NOV''25'!R245+O241-W241</f>
        <v>0</v>
      </c>
      <c r="T241" s="201">
        <f>'[1]NOV''25'!S245+P241-X241</f>
        <v>0</v>
      </c>
      <c r="U241" s="200">
        <f t="shared" si="70"/>
        <v>0</v>
      </c>
      <c r="V241" s="202">
        <v>505625</v>
      </c>
      <c r="W241" s="203">
        <v>303375</v>
      </c>
      <c r="X241" s="203"/>
      <c r="Y241" s="200">
        <f t="shared" si="76"/>
        <v>809000</v>
      </c>
      <c r="Z241" s="207">
        <f t="shared" si="69"/>
        <v>4550625</v>
      </c>
      <c r="AA241" s="96"/>
      <c r="AB241" s="96" t="e">
        <f>#REF!-#REF!</f>
        <v>#REF!</v>
      </c>
    </row>
    <row r="242" spans="2:28" s="55" customFormat="1" x14ac:dyDescent="0.3">
      <c r="B242" s="191">
        <v>104</v>
      </c>
      <c r="C242" s="192"/>
      <c r="D242" s="192"/>
      <c r="E242" s="208">
        <v>45540</v>
      </c>
      <c r="F242" s="192" t="s">
        <v>417</v>
      </c>
      <c r="G242" s="192" t="s">
        <v>97</v>
      </c>
      <c r="H242" s="194">
        <v>4512555</v>
      </c>
      <c r="I242" s="195"/>
      <c r="J242" s="206">
        <f t="shared" si="72"/>
        <v>14.405630062791477</v>
      </c>
      <c r="K242" s="210">
        <v>24</v>
      </c>
      <c r="L242" s="198">
        <f t="shared" si="71"/>
        <v>0.60023458594964485</v>
      </c>
      <c r="M242" s="194">
        <v>1880232.4180000001</v>
      </c>
      <c r="N242" s="199">
        <f t="shared" si="74"/>
        <v>188023.125</v>
      </c>
      <c r="O242" s="200">
        <f t="shared" si="75"/>
        <v>112813.875</v>
      </c>
      <c r="P242" s="200"/>
      <c r="Q242" s="200">
        <f t="shared" si="73"/>
        <v>300837</v>
      </c>
      <c r="R242" s="201">
        <f>'[1]NOV''25'!Q246+N242-V242</f>
        <v>111754.29300000001</v>
      </c>
      <c r="S242" s="201">
        <f>'[1]NOV''25'!R246+O242-W242</f>
        <v>0</v>
      </c>
      <c r="T242" s="201">
        <f>'[1]NOV''25'!S246+P242-X242</f>
        <v>0</v>
      </c>
      <c r="U242" s="200">
        <f t="shared" si="70"/>
        <v>111754.29300000001</v>
      </c>
      <c r="V242" s="202">
        <v>76269</v>
      </c>
      <c r="W242" s="203">
        <v>112813.875</v>
      </c>
      <c r="X242" s="203"/>
      <c r="Y242" s="200">
        <f t="shared" si="76"/>
        <v>189082.875</v>
      </c>
      <c r="Z242" s="207">
        <f t="shared" si="69"/>
        <v>1803963.4180000001</v>
      </c>
      <c r="AA242" s="96"/>
      <c r="AB242" s="96" t="e">
        <f>#REF!-#REF!</f>
        <v>#REF!</v>
      </c>
    </row>
    <row r="243" spans="2:28" s="55" customFormat="1" x14ac:dyDescent="0.3">
      <c r="B243" s="191">
        <v>105</v>
      </c>
      <c r="C243" s="205" t="s">
        <v>418</v>
      </c>
      <c r="D243" s="192"/>
      <c r="E243" s="208">
        <v>45541</v>
      </c>
      <c r="F243" s="192" t="s">
        <v>419</v>
      </c>
      <c r="G243" s="192" t="s">
        <v>48</v>
      </c>
      <c r="H243" s="194">
        <v>4000000</v>
      </c>
      <c r="I243" s="224"/>
      <c r="J243" s="225">
        <f t="shared" si="72"/>
        <v>14.999998000000003</v>
      </c>
      <c r="K243" s="210">
        <v>24</v>
      </c>
      <c r="L243" s="198">
        <f t="shared" si="71"/>
        <v>0.62499991666666677</v>
      </c>
      <c r="M243" s="194">
        <v>1666667</v>
      </c>
      <c r="N243" s="199">
        <f t="shared" si="74"/>
        <v>166666.66666666666</v>
      </c>
      <c r="O243" s="226">
        <f t="shared" si="75"/>
        <v>100000</v>
      </c>
      <c r="P243" s="226"/>
      <c r="Q243" s="226">
        <f t="shared" si="73"/>
        <v>266666.66666666663</v>
      </c>
      <c r="R243" s="201">
        <f>'[1]NOV''25'!Q247+N243-V243</f>
        <v>-3.4924596548080444E-10</v>
      </c>
      <c r="S243" s="201">
        <f>'[1]NOV''25'!R247+O243-W243</f>
        <v>0</v>
      </c>
      <c r="T243" s="201">
        <f>'[1]NOV''25'!S247+P243-X243</f>
        <v>0</v>
      </c>
      <c r="U243" s="200">
        <f t="shared" si="70"/>
        <v>-3.4924596548080444E-10</v>
      </c>
      <c r="V243" s="202">
        <v>166666.66666666701</v>
      </c>
      <c r="W243" s="203">
        <v>100000</v>
      </c>
      <c r="X243" s="203"/>
      <c r="Y243" s="200">
        <f t="shared" si="76"/>
        <v>266666.66666666698</v>
      </c>
      <c r="Z243" s="207">
        <f t="shared" si="69"/>
        <v>1500000.333333333</v>
      </c>
      <c r="AA243" s="96"/>
      <c r="AB243" s="96" t="e">
        <f>#REF!-#REF!</f>
        <v>#REF!</v>
      </c>
    </row>
    <row r="244" spans="2:28" s="13" customFormat="1" ht="11.4" x14ac:dyDescent="0.2">
      <c r="B244" s="191">
        <v>106</v>
      </c>
      <c r="C244" s="192"/>
      <c r="D244" s="192"/>
      <c r="E244" s="208">
        <v>45541</v>
      </c>
      <c r="F244" s="192" t="s">
        <v>420</v>
      </c>
      <c r="G244" s="192" t="s">
        <v>27</v>
      </c>
      <c r="H244" s="194">
        <v>4000000</v>
      </c>
      <c r="I244" s="224"/>
      <c r="J244" s="225">
        <f t="shared" si="72"/>
        <v>14.999999999999984</v>
      </c>
      <c r="K244" s="210">
        <v>24</v>
      </c>
      <c r="L244" s="198">
        <f t="shared" si="71"/>
        <v>0.62499999999999933</v>
      </c>
      <c r="M244" s="194">
        <v>1666666.66666667</v>
      </c>
      <c r="N244" s="199">
        <f t="shared" si="74"/>
        <v>166666.66666666666</v>
      </c>
      <c r="O244" s="226">
        <f t="shared" si="75"/>
        <v>100000</v>
      </c>
      <c r="P244" s="226"/>
      <c r="Q244" s="226">
        <f t="shared" si="73"/>
        <v>266666.66666666663</v>
      </c>
      <c r="R244" s="201">
        <f>'[1]NOV''25'!Q248+N244-V244</f>
        <v>-0.33333333369228058</v>
      </c>
      <c r="S244" s="201">
        <f>'[1]NOV''25'!R248+O244-W244</f>
        <v>0</v>
      </c>
      <c r="T244" s="201">
        <f>'[1]NOV''25'!S248+P244-X244</f>
        <v>0</v>
      </c>
      <c r="U244" s="200">
        <f t="shared" si="70"/>
        <v>-0.33333333369228058</v>
      </c>
      <c r="V244" s="202">
        <v>166666.66666666701</v>
      </c>
      <c r="W244" s="203">
        <v>100000</v>
      </c>
      <c r="X244" s="203"/>
      <c r="Y244" s="200">
        <f t="shared" si="76"/>
        <v>266666.66666666698</v>
      </c>
      <c r="Z244" s="207">
        <f t="shared" si="69"/>
        <v>1500000.000000003</v>
      </c>
      <c r="AA244" s="96"/>
      <c r="AB244" s="96" t="e">
        <f>#REF!-#REF!</f>
        <v>#REF!</v>
      </c>
    </row>
    <row r="245" spans="2:28" s="13" customFormat="1" ht="11.4" x14ac:dyDescent="0.2">
      <c r="B245" s="191">
        <v>107</v>
      </c>
      <c r="C245" s="192"/>
      <c r="D245" s="192"/>
      <c r="E245" s="208">
        <v>45541</v>
      </c>
      <c r="F245" s="192" t="s">
        <v>421</v>
      </c>
      <c r="G245" s="192" t="s">
        <v>48</v>
      </c>
      <c r="H245" s="194">
        <v>9000000</v>
      </c>
      <c r="I245" s="224"/>
      <c r="J245" s="225">
        <f t="shared" si="72"/>
        <v>15</v>
      </c>
      <c r="K245" s="210">
        <v>24</v>
      </c>
      <c r="L245" s="198">
        <f t="shared" si="71"/>
        <v>0.625</v>
      </c>
      <c r="M245" s="194">
        <v>3750000</v>
      </c>
      <c r="N245" s="199">
        <f t="shared" si="74"/>
        <v>375000</v>
      </c>
      <c r="O245" s="226">
        <f t="shared" si="75"/>
        <v>225000</v>
      </c>
      <c r="P245" s="226"/>
      <c r="Q245" s="226">
        <f t="shared" si="73"/>
        <v>600000</v>
      </c>
      <c r="R245" s="201">
        <f>'[1]NOV''25'!Q249+N245-V245</f>
        <v>0</v>
      </c>
      <c r="S245" s="201">
        <f>'[1]NOV''25'!R249+O245-W245</f>
        <v>0</v>
      </c>
      <c r="T245" s="201">
        <f>'[1]NOV''25'!S249+P245-X245</f>
        <v>0</v>
      </c>
      <c r="U245" s="200">
        <f t="shared" si="70"/>
        <v>0</v>
      </c>
      <c r="V245" s="202">
        <v>375000</v>
      </c>
      <c r="W245" s="203">
        <v>225000</v>
      </c>
      <c r="X245" s="203"/>
      <c r="Y245" s="200">
        <f t="shared" si="76"/>
        <v>600000</v>
      </c>
      <c r="Z245" s="207">
        <f t="shared" si="69"/>
        <v>3375000</v>
      </c>
      <c r="AA245" s="96"/>
      <c r="AB245" s="96" t="e">
        <f>#REF!-#REF!</f>
        <v>#REF!</v>
      </c>
    </row>
    <row r="246" spans="2:28" s="13" customFormat="1" ht="11.4" x14ac:dyDescent="0.2">
      <c r="B246" s="191">
        <v>108</v>
      </c>
      <c r="C246" s="192"/>
      <c r="D246" s="192"/>
      <c r="E246" s="208">
        <v>45544</v>
      </c>
      <c r="F246" s="192" t="s">
        <v>422</v>
      </c>
      <c r="G246" s="192" t="s">
        <v>423</v>
      </c>
      <c r="H246" s="248">
        <v>10780000</v>
      </c>
      <c r="I246" s="224"/>
      <c r="J246" s="225">
        <f t="shared" si="72"/>
        <v>14.999999257884973</v>
      </c>
      <c r="K246" s="210">
        <v>24</v>
      </c>
      <c r="L246" s="198">
        <f t="shared" si="71"/>
        <v>0.6249999690785405</v>
      </c>
      <c r="M246" s="194">
        <v>4491667</v>
      </c>
      <c r="N246" s="199">
        <f t="shared" si="74"/>
        <v>449166.66666666669</v>
      </c>
      <c r="O246" s="226">
        <f t="shared" si="75"/>
        <v>269500</v>
      </c>
      <c r="P246" s="226"/>
      <c r="Q246" s="226">
        <f t="shared" si="73"/>
        <v>718666.66666666674</v>
      </c>
      <c r="R246" s="201">
        <f>'[1]NOV''25'!Q250+N246-V246</f>
        <v>0</v>
      </c>
      <c r="S246" s="201">
        <f>'[1]NOV''25'!R250+O246-W246</f>
        <v>0</v>
      </c>
      <c r="T246" s="201">
        <f>'[1]NOV''25'!S250+P246-X246</f>
        <v>0</v>
      </c>
      <c r="U246" s="200">
        <f t="shared" si="70"/>
        <v>0</v>
      </c>
      <c r="V246" s="202">
        <v>449166.66666666698</v>
      </c>
      <c r="W246" s="203">
        <v>269500</v>
      </c>
      <c r="X246" s="203"/>
      <c r="Y246" s="200">
        <f t="shared" si="76"/>
        <v>718666.66666666698</v>
      </c>
      <c r="Z246" s="207">
        <f t="shared" si="69"/>
        <v>4042500.333333333</v>
      </c>
      <c r="AA246" s="96"/>
      <c r="AB246" s="96" t="e">
        <f>#REF!-#REF!</f>
        <v>#REF!</v>
      </c>
    </row>
    <row r="247" spans="2:28" s="13" customFormat="1" ht="11.4" x14ac:dyDescent="0.2">
      <c r="B247" s="191">
        <v>109</v>
      </c>
      <c r="C247" s="192"/>
      <c r="D247" s="192"/>
      <c r="E247" s="208">
        <v>45544</v>
      </c>
      <c r="F247" s="192" t="s">
        <v>424</v>
      </c>
      <c r="G247" s="192" t="s">
        <v>33</v>
      </c>
      <c r="H247" s="248">
        <v>5690000</v>
      </c>
      <c r="I247" s="224"/>
      <c r="J247" s="225">
        <f t="shared" si="72"/>
        <v>15.000001405975393</v>
      </c>
      <c r="K247" s="210">
        <v>24</v>
      </c>
      <c r="L247" s="198">
        <f t="shared" si="71"/>
        <v>0.625000058582308</v>
      </c>
      <c r="M247" s="194">
        <v>2370833</v>
      </c>
      <c r="N247" s="199">
        <f t="shared" si="74"/>
        <v>237083.33333333334</v>
      </c>
      <c r="O247" s="226">
        <f t="shared" si="75"/>
        <v>142250</v>
      </c>
      <c r="P247" s="226"/>
      <c r="Q247" s="226">
        <f t="shared" si="73"/>
        <v>379333.33333333337</v>
      </c>
      <c r="R247" s="201">
        <f>'[1]NOV''25'!Q251+N247-V247</f>
        <v>3.4924596548080444E-10</v>
      </c>
      <c r="S247" s="201">
        <f>'[1]NOV''25'!R251+O247-W247</f>
        <v>0</v>
      </c>
      <c r="T247" s="201">
        <f>'[1]NOV''25'!S251+P247-X247</f>
        <v>0</v>
      </c>
      <c r="U247" s="200">
        <f t="shared" si="70"/>
        <v>3.4924596548080444E-10</v>
      </c>
      <c r="V247" s="202">
        <v>237083.33333333299</v>
      </c>
      <c r="W247" s="203">
        <v>142250</v>
      </c>
      <c r="X247" s="203"/>
      <c r="Y247" s="200">
        <f t="shared" si="76"/>
        <v>379333.33333333302</v>
      </c>
      <c r="Z247" s="207">
        <f t="shared" si="69"/>
        <v>2133749.666666667</v>
      </c>
      <c r="AA247" s="96"/>
      <c r="AB247" s="96" t="e">
        <f>#REF!-#REF!</f>
        <v>#REF!</v>
      </c>
    </row>
    <row r="248" spans="2:28" s="13" customFormat="1" ht="11.4" x14ac:dyDescent="0.2">
      <c r="B248" s="191">
        <v>110</v>
      </c>
      <c r="C248" s="192"/>
      <c r="D248" s="192"/>
      <c r="E248" s="208">
        <v>45546</v>
      </c>
      <c r="F248" s="192" t="s">
        <v>425</v>
      </c>
      <c r="G248" s="192" t="s">
        <v>84</v>
      </c>
      <c r="H248" s="248">
        <v>3500000</v>
      </c>
      <c r="I248" s="224"/>
      <c r="J248" s="225">
        <f t="shared" si="72"/>
        <v>15.000000000000018</v>
      </c>
      <c r="K248" s="210">
        <v>24</v>
      </c>
      <c r="L248" s="198">
        <f t="shared" si="71"/>
        <v>0.62500000000000078</v>
      </c>
      <c r="M248" s="194">
        <v>1458333.33333333</v>
      </c>
      <c r="N248" s="199">
        <f t="shared" si="74"/>
        <v>145833.33333333334</v>
      </c>
      <c r="O248" s="226">
        <f t="shared" si="75"/>
        <v>87500</v>
      </c>
      <c r="P248" s="226"/>
      <c r="Q248" s="226">
        <f t="shared" si="73"/>
        <v>233333.33333333334</v>
      </c>
      <c r="R248" s="201">
        <f>'[1]NOV''25'!Q252+N248-V248</f>
        <v>3.4924596548080444E-10</v>
      </c>
      <c r="S248" s="201">
        <f>'[1]NOV''25'!R252+O248-W248</f>
        <v>0</v>
      </c>
      <c r="T248" s="201">
        <f>'[1]NOV''25'!S252+P248-X248</f>
        <v>0</v>
      </c>
      <c r="U248" s="200">
        <f t="shared" si="70"/>
        <v>3.4924596548080444E-10</v>
      </c>
      <c r="V248" s="202">
        <v>145833.33333333299</v>
      </c>
      <c r="W248" s="203">
        <v>87500</v>
      </c>
      <c r="X248" s="203"/>
      <c r="Y248" s="200">
        <f t="shared" si="76"/>
        <v>233333.33333333299</v>
      </c>
      <c r="Z248" s="207">
        <f t="shared" ref="Z248:Z302" si="77">SUM(M248-V248)</f>
        <v>1312499.999999997</v>
      </c>
      <c r="AA248" s="96"/>
      <c r="AB248" s="96" t="e">
        <f>#REF!-#REF!</f>
        <v>#REF!</v>
      </c>
    </row>
    <row r="249" spans="2:28" s="13" customFormat="1" ht="11.4" x14ac:dyDescent="0.2">
      <c r="B249" s="191">
        <v>111</v>
      </c>
      <c r="C249" s="192"/>
      <c r="D249" s="192"/>
      <c r="E249" s="208">
        <v>45547</v>
      </c>
      <c r="F249" s="192" t="s">
        <v>426</v>
      </c>
      <c r="G249" s="192" t="s">
        <v>48</v>
      </c>
      <c r="H249" s="248">
        <v>8800000</v>
      </c>
      <c r="I249" s="224"/>
      <c r="J249" s="225">
        <f t="shared" si="72"/>
        <v>12.999999090909082</v>
      </c>
      <c r="K249" s="210">
        <v>24</v>
      </c>
      <c r="L249" s="198">
        <f t="shared" si="71"/>
        <v>0.54166662878787841</v>
      </c>
      <c r="M249" s="194">
        <v>4033333.6666666698</v>
      </c>
      <c r="N249" s="199">
        <f t="shared" si="74"/>
        <v>366666.66666666669</v>
      </c>
      <c r="O249" s="226">
        <f t="shared" si="75"/>
        <v>220000</v>
      </c>
      <c r="P249" s="226"/>
      <c r="Q249" s="226">
        <f t="shared" si="73"/>
        <v>586666.66666666674</v>
      </c>
      <c r="R249" s="201">
        <f>'[1]NOV''25'!Q253+N249-V249</f>
        <v>733333.33333333372</v>
      </c>
      <c r="S249" s="201">
        <f>'[1]NOV''25'!R253+O249-W249</f>
        <v>440000</v>
      </c>
      <c r="T249" s="201">
        <f>'[1]NOV''25'!S253+P249-X249</f>
        <v>0</v>
      </c>
      <c r="U249" s="200">
        <f t="shared" si="70"/>
        <v>1173333.3333333337</v>
      </c>
      <c r="V249" s="202"/>
      <c r="W249" s="203"/>
      <c r="X249" s="203"/>
      <c r="Y249" s="200">
        <f t="shared" si="76"/>
        <v>0</v>
      </c>
      <c r="Z249" s="207">
        <f t="shared" si="77"/>
        <v>4033333.6666666698</v>
      </c>
      <c r="AA249" s="96"/>
      <c r="AB249" s="96" t="e">
        <f>#REF!-#REF!</f>
        <v>#REF!</v>
      </c>
    </row>
    <row r="250" spans="2:28" s="13" customFormat="1" ht="11.4" x14ac:dyDescent="0.2">
      <c r="B250" s="191">
        <v>112</v>
      </c>
      <c r="C250" s="192"/>
      <c r="D250" s="192"/>
      <c r="E250" s="208">
        <v>45547</v>
      </c>
      <c r="F250" s="192" t="s">
        <v>427</v>
      </c>
      <c r="G250" s="192" t="s">
        <v>41</v>
      </c>
      <c r="H250" s="248">
        <v>7800000</v>
      </c>
      <c r="I250" s="224"/>
      <c r="J250" s="225">
        <f t="shared" si="72"/>
        <v>15</v>
      </c>
      <c r="K250" s="210">
        <v>24</v>
      </c>
      <c r="L250" s="198">
        <f t="shared" si="71"/>
        <v>0.625</v>
      </c>
      <c r="M250" s="194">
        <v>3250000</v>
      </c>
      <c r="N250" s="199">
        <f t="shared" si="74"/>
        <v>325000</v>
      </c>
      <c r="O250" s="226">
        <f t="shared" si="75"/>
        <v>195000</v>
      </c>
      <c r="P250" s="226"/>
      <c r="Q250" s="226">
        <f t="shared" si="73"/>
        <v>520000</v>
      </c>
      <c r="R250" s="201">
        <f>'[1]NOV''25'!Q254+N250-V250</f>
        <v>0</v>
      </c>
      <c r="S250" s="201">
        <f>'[1]NOV''25'!R254+O250-W250</f>
        <v>0</v>
      </c>
      <c r="T250" s="201">
        <f>'[1]NOV''25'!S254+P250-X250</f>
        <v>0</v>
      </c>
      <c r="U250" s="200">
        <f t="shared" si="70"/>
        <v>0</v>
      </c>
      <c r="V250" s="202">
        <v>325000</v>
      </c>
      <c r="W250" s="203">
        <v>195000</v>
      </c>
      <c r="X250" s="203"/>
      <c r="Y250" s="200">
        <f t="shared" si="76"/>
        <v>520000</v>
      </c>
      <c r="Z250" s="207">
        <f t="shared" si="77"/>
        <v>2925000</v>
      </c>
      <c r="AA250" s="96"/>
      <c r="AB250" s="96" t="e">
        <f>#REF!-#REF!</f>
        <v>#REF!</v>
      </c>
    </row>
    <row r="251" spans="2:28" s="13" customFormat="1" ht="11.4" x14ac:dyDescent="0.2">
      <c r="B251" s="191">
        <v>113</v>
      </c>
      <c r="C251" s="192"/>
      <c r="D251" s="192"/>
      <c r="E251" s="208">
        <v>45548</v>
      </c>
      <c r="F251" s="192" t="s">
        <v>428</v>
      </c>
      <c r="G251" s="192" t="s">
        <v>33</v>
      </c>
      <c r="H251" s="194">
        <v>3610000</v>
      </c>
      <c r="I251" s="224"/>
      <c r="J251" s="225">
        <f t="shared" si="72"/>
        <v>13.05795678670358</v>
      </c>
      <c r="K251" s="210">
        <v>24</v>
      </c>
      <c r="L251" s="198">
        <f t="shared" si="71"/>
        <v>0.54408153277931581</v>
      </c>
      <c r="M251" s="194">
        <v>1645865.66666667</v>
      </c>
      <c r="N251" s="199">
        <f t="shared" si="74"/>
        <v>150416.66666666666</v>
      </c>
      <c r="O251" s="226">
        <f t="shared" si="75"/>
        <v>90250</v>
      </c>
      <c r="P251" s="226"/>
      <c r="Q251" s="226">
        <f t="shared" si="73"/>
        <v>240666.66666666666</v>
      </c>
      <c r="R251" s="201">
        <f>'[1]NOV''25'!Q255+N251-V251</f>
        <v>292115.33333333366</v>
      </c>
      <c r="S251" s="201">
        <f>'[1]NOV''25'!R255+O251-W251</f>
        <v>90250</v>
      </c>
      <c r="T251" s="201">
        <f>'[1]NOV''25'!S255+P251-X251</f>
        <v>0</v>
      </c>
      <c r="U251" s="200">
        <f t="shared" si="70"/>
        <v>382365.33333333366</v>
      </c>
      <c r="V251" s="202"/>
      <c r="W251" s="203"/>
      <c r="X251" s="203"/>
      <c r="Y251" s="200">
        <f t="shared" si="76"/>
        <v>0</v>
      </c>
      <c r="Z251" s="207">
        <f t="shared" si="77"/>
        <v>1645865.66666667</v>
      </c>
      <c r="AA251" s="96"/>
      <c r="AB251" s="96" t="e">
        <f>#REF!-#REF!</f>
        <v>#REF!</v>
      </c>
    </row>
    <row r="252" spans="2:28" s="13" customFormat="1" ht="11.4" x14ac:dyDescent="0.2">
      <c r="B252" s="191">
        <v>114</v>
      </c>
      <c r="C252" s="192"/>
      <c r="D252" s="192"/>
      <c r="E252" s="208">
        <v>45548</v>
      </c>
      <c r="F252" s="192" t="s">
        <v>429</v>
      </c>
      <c r="G252" s="192" t="s">
        <v>38</v>
      </c>
      <c r="H252" s="194">
        <v>3580000</v>
      </c>
      <c r="I252" s="224"/>
      <c r="J252" s="225">
        <f t="shared" si="72"/>
        <v>14.999997765363132</v>
      </c>
      <c r="K252" s="210">
        <v>24</v>
      </c>
      <c r="L252" s="198">
        <f t="shared" si="71"/>
        <v>0.62499990689013052</v>
      </c>
      <c r="M252" s="194">
        <v>1491667</v>
      </c>
      <c r="N252" s="199">
        <f t="shared" si="74"/>
        <v>149166.66666666666</v>
      </c>
      <c r="O252" s="226">
        <f t="shared" si="75"/>
        <v>89500</v>
      </c>
      <c r="P252" s="226"/>
      <c r="Q252" s="226">
        <f t="shared" si="73"/>
        <v>238666.66666666666</v>
      </c>
      <c r="R252" s="201">
        <f>'[1]NOV''25'!Q256+N252-V252</f>
        <v>-3.4924596548080444E-10</v>
      </c>
      <c r="S252" s="201">
        <f>'[1]NOV''25'!R256+O252-W252</f>
        <v>0</v>
      </c>
      <c r="T252" s="201">
        <f>'[1]NOV''25'!S256+P252-X252</f>
        <v>0</v>
      </c>
      <c r="U252" s="200">
        <f t="shared" si="70"/>
        <v>-3.4924596548080444E-10</v>
      </c>
      <c r="V252" s="202">
        <v>149166.66666666701</v>
      </c>
      <c r="W252" s="203">
        <v>89500</v>
      </c>
      <c r="X252" s="203"/>
      <c r="Y252" s="200">
        <f t="shared" si="76"/>
        <v>238666.66666666701</v>
      </c>
      <c r="Z252" s="207">
        <f t="shared" si="77"/>
        <v>1342500.333333333</v>
      </c>
      <c r="AA252" s="96"/>
      <c r="AB252" s="96" t="e">
        <f>#REF!-#REF!</f>
        <v>#REF!</v>
      </c>
    </row>
    <row r="253" spans="2:28" s="13" customFormat="1" ht="11.4" x14ac:dyDescent="0.2">
      <c r="B253" s="191">
        <v>115</v>
      </c>
      <c r="C253" s="192"/>
      <c r="D253" s="192"/>
      <c r="E253" s="208">
        <v>45552</v>
      </c>
      <c r="F253" s="192" t="s">
        <v>430</v>
      </c>
      <c r="G253" s="192" t="s">
        <v>48</v>
      </c>
      <c r="H253" s="194">
        <v>6300000</v>
      </c>
      <c r="I253" s="224"/>
      <c r="J253" s="225">
        <f t="shared" si="72"/>
        <v>15</v>
      </c>
      <c r="K253" s="210">
        <v>24</v>
      </c>
      <c r="L253" s="198">
        <f t="shared" si="71"/>
        <v>0.625</v>
      </c>
      <c r="M253" s="194">
        <v>2625000</v>
      </c>
      <c r="N253" s="199">
        <f t="shared" si="74"/>
        <v>262500</v>
      </c>
      <c r="O253" s="226">
        <f t="shared" si="75"/>
        <v>157500</v>
      </c>
      <c r="P253" s="226"/>
      <c r="Q253" s="226">
        <f t="shared" si="73"/>
        <v>420000</v>
      </c>
      <c r="R253" s="201">
        <f>'[1]NOV''25'!Q257+N253-V253</f>
        <v>0</v>
      </c>
      <c r="S253" s="201">
        <f>'[1]NOV''25'!R257+O253-W253</f>
        <v>0</v>
      </c>
      <c r="T253" s="201">
        <f>'[1]NOV''25'!S257+P253-X253</f>
        <v>0</v>
      </c>
      <c r="U253" s="200">
        <f t="shared" si="70"/>
        <v>0</v>
      </c>
      <c r="V253" s="202">
        <v>262500</v>
      </c>
      <c r="W253" s="203">
        <v>157500</v>
      </c>
      <c r="X253" s="203"/>
      <c r="Y253" s="200">
        <f t="shared" si="76"/>
        <v>420000</v>
      </c>
      <c r="Z253" s="207">
        <f t="shared" si="77"/>
        <v>2362500</v>
      </c>
      <c r="AA253" s="96"/>
      <c r="AB253" s="96" t="e">
        <f>#REF!-#REF!</f>
        <v>#REF!</v>
      </c>
    </row>
    <row r="254" spans="2:28" s="13" customFormat="1" ht="11.4" x14ac:dyDescent="0.2">
      <c r="B254" s="191">
        <v>116</v>
      </c>
      <c r="C254" s="192"/>
      <c r="D254" s="192"/>
      <c r="E254" s="208">
        <v>45552</v>
      </c>
      <c r="F254" s="192" t="s">
        <v>431</v>
      </c>
      <c r="G254" s="192" t="s">
        <v>30</v>
      </c>
      <c r="H254" s="194">
        <v>5500000</v>
      </c>
      <c r="I254" s="224"/>
      <c r="J254" s="225">
        <f t="shared" si="72"/>
        <v>14.999998545454547</v>
      </c>
      <c r="K254" s="210">
        <v>24</v>
      </c>
      <c r="L254" s="198">
        <f t="shared" si="71"/>
        <v>0.6249999393939395</v>
      </c>
      <c r="M254" s="194">
        <v>2291667</v>
      </c>
      <c r="N254" s="199">
        <f t="shared" si="74"/>
        <v>229166.66666666666</v>
      </c>
      <c r="O254" s="226">
        <f t="shared" si="75"/>
        <v>137500</v>
      </c>
      <c r="P254" s="226"/>
      <c r="Q254" s="226">
        <f t="shared" si="73"/>
        <v>366666.66666666663</v>
      </c>
      <c r="R254" s="201">
        <f>'[1]NOV''25'!Q258+N254-V254</f>
        <v>-3.4924596548080444E-10</v>
      </c>
      <c r="S254" s="201">
        <f>'[1]NOV''25'!R258+O254-W254</f>
        <v>0</v>
      </c>
      <c r="T254" s="201">
        <f>'[1]NOV''25'!S258+P254-X254</f>
        <v>0</v>
      </c>
      <c r="U254" s="200">
        <f t="shared" si="70"/>
        <v>-3.4924596548080444E-10</v>
      </c>
      <c r="V254" s="202">
        <v>229166.66666666701</v>
      </c>
      <c r="W254" s="203">
        <v>137500</v>
      </c>
      <c r="X254" s="203"/>
      <c r="Y254" s="200">
        <f t="shared" si="76"/>
        <v>366666.66666666698</v>
      </c>
      <c r="Z254" s="207">
        <f t="shared" si="77"/>
        <v>2062500.333333333</v>
      </c>
      <c r="AA254" s="96"/>
      <c r="AB254" s="96" t="e">
        <f>#REF!-#REF!</f>
        <v>#REF!</v>
      </c>
    </row>
    <row r="255" spans="2:28" s="13" customFormat="1" ht="10.95" customHeight="1" x14ac:dyDescent="0.2">
      <c r="B255" s="191">
        <v>117</v>
      </c>
      <c r="C255" s="192"/>
      <c r="D255" s="192"/>
      <c r="E255" s="208">
        <v>45552</v>
      </c>
      <c r="F255" s="192" t="s">
        <v>432</v>
      </c>
      <c r="G255" s="192" t="s">
        <v>48</v>
      </c>
      <c r="H255" s="194">
        <v>2100000</v>
      </c>
      <c r="I255" s="224"/>
      <c r="J255" s="225">
        <f t="shared" si="72"/>
        <v>15</v>
      </c>
      <c r="K255" s="210">
        <v>24</v>
      </c>
      <c r="L255" s="198">
        <f t="shared" si="71"/>
        <v>0.625</v>
      </c>
      <c r="M255" s="194">
        <v>948610</v>
      </c>
      <c r="N255" s="199">
        <f t="shared" si="74"/>
        <v>87500</v>
      </c>
      <c r="O255" s="226">
        <f t="shared" si="75"/>
        <v>52500</v>
      </c>
      <c r="P255" s="226"/>
      <c r="Q255" s="226">
        <f t="shared" si="73"/>
        <v>140000</v>
      </c>
      <c r="R255" s="201">
        <f>'[1]NOV''25'!Q259+N255-V255</f>
        <v>0</v>
      </c>
      <c r="S255" s="201">
        <f>'[1]NOV''25'!R259+O255-W255</f>
        <v>0</v>
      </c>
      <c r="T255" s="201">
        <f>'[1]NOV''25'!S259+P255-X255</f>
        <v>0</v>
      </c>
      <c r="U255" s="200">
        <f t="shared" si="70"/>
        <v>0</v>
      </c>
      <c r="V255" s="202">
        <f>87500+73610</f>
        <v>161110</v>
      </c>
      <c r="W255" s="203">
        <v>52500</v>
      </c>
      <c r="X255" s="203"/>
      <c r="Y255" s="200">
        <f t="shared" si="76"/>
        <v>213610</v>
      </c>
      <c r="Z255" s="207">
        <f t="shared" si="77"/>
        <v>787500</v>
      </c>
      <c r="AA255" s="96"/>
      <c r="AB255" s="96" t="e">
        <f>#REF!-#REF!</f>
        <v>#REF!</v>
      </c>
    </row>
    <row r="256" spans="2:28" s="13" customFormat="1" ht="11.4" x14ac:dyDescent="0.2">
      <c r="B256" s="191">
        <v>118</v>
      </c>
      <c r="C256" s="192"/>
      <c r="D256" s="192"/>
      <c r="E256" s="208">
        <v>45552</v>
      </c>
      <c r="F256" s="192" t="s">
        <v>433</v>
      </c>
      <c r="G256" s="192" t="s">
        <v>434</v>
      </c>
      <c r="H256" s="194">
        <v>9600000</v>
      </c>
      <c r="I256" s="224"/>
      <c r="J256" s="225">
        <f t="shared" si="72"/>
        <v>15</v>
      </c>
      <c r="K256" s="210">
        <v>24</v>
      </c>
      <c r="L256" s="198">
        <f t="shared" si="71"/>
        <v>0.625</v>
      </c>
      <c r="M256" s="194">
        <v>4000000</v>
      </c>
      <c r="N256" s="199">
        <f t="shared" si="74"/>
        <v>400000</v>
      </c>
      <c r="O256" s="226">
        <f t="shared" si="75"/>
        <v>240000</v>
      </c>
      <c r="P256" s="226"/>
      <c r="Q256" s="226">
        <f t="shared" si="73"/>
        <v>640000</v>
      </c>
      <c r="R256" s="201">
        <f>'[1]NOV''25'!Q260+N256-V256</f>
        <v>0</v>
      </c>
      <c r="S256" s="201">
        <f>'[1]NOV''25'!R260+O256-W256</f>
        <v>0</v>
      </c>
      <c r="T256" s="201">
        <f>'[1]NOV''25'!S260+P256-X256</f>
        <v>0</v>
      </c>
      <c r="U256" s="200">
        <f t="shared" si="70"/>
        <v>0</v>
      </c>
      <c r="V256" s="202">
        <v>400000</v>
      </c>
      <c r="W256" s="203">
        <v>240000</v>
      </c>
      <c r="X256" s="203"/>
      <c r="Y256" s="200">
        <f t="shared" si="76"/>
        <v>640000</v>
      </c>
      <c r="Z256" s="207">
        <f t="shared" si="77"/>
        <v>3600000</v>
      </c>
      <c r="AA256" s="96"/>
      <c r="AB256" s="96" t="e">
        <f>#REF!-#REF!</f>
        <v>#REF!</v>
      </c>
    </row>
    <row r="257" spans="2:28" s="13" customFormat="1" ht="11.4" x14ac:dyDescent="0.2">
      <c r="B257" s="191">
        <v>119</v>
      </c>
      <c r="C257" s="192"/>
      <c r="D257" s="192"/>
      <c r="E257" s="208">
        <v>45553</v>
      </c>
      <c r="F257" s="192" t="s">
        <v>435</v>
      </c>
      <c r="G257" s="192" t="s">
        <v>100</v>
      </c>
      <c r="H257" s="194">
        <v>1910000</v>
      </c>
      <c r="I257" s="224"/>
      <c r="J257" s="225">
        <f t="shared" si="72"/>
        <v>15.000004188481675</v>
      </c>
      <c r="K257" s="210">
        <v>24</v>
      </c>
      <c r="L257" s="198">
        <f t="shared" si="71"/>
        <v>0.62500017452006984</v>
      </c>
      <c r="M257" s="194">
        <v>795833</v>
      </c>
      <c r="N257" s="199">
        <f t="shared" si="74"/>
        <v>79583.333333333328</v>
      </c>
      <c r="O257" s="226">
        <f t="shared" si="75"/>
        <v>47750</v>
      </c>
      <c r="P257" s="226"/>
      <c r="Q257" s="226">
        <f t="shared" si="73"/>
        <v>127333.33333333333</v>
      </c>
      <c r="R257" s="201">
        <f>'[1]NOV''25'!Q261+N257-V257</f>
        <v>0</v>
      </c>
      <c r="S257" s="201">
        <f>'[1]NOV''25'!R261+O257-W257</f>
        <v>0</v>
      </c>
      <c r="T257" s="201">
        <f>'[1]NOV''25'!S261+P257-X257</f>
        <v>0</v>
      </c>
      <c r="U257" s="200">
        <f t="shared" si="70"/>
        <v>0</v>
      </c>
      <c r="V257" s="202">
        <v>79583.333333333299</v>
      </c>
      <c r="W257" s="203">
        <v>47750</v>
      </c>
      <c r="X257" s="203"/>
      <c r="Y257" s="200">
        <f t="shared" si="76"/>
        <v>127333.3333333333</v>
      </c>
      <c r="Z257" s="207">
        <f t="shared" si="77"/>
        <v>716249.66666666674</v>
      </c>
      <c r="AA257" s="96"/>
      <c r="AB257" s="96" t="e">
        <f>#REF!-#REF!</f>
        <v>#REF!</v>
      </c>
    </row>
    <row r="258" spans="2:28" s="13" customFormat="1" ht="11.4" x14ac:dyDescent="0.2">
      <c r="B258" s="191">
        <v>120</v>
      </c>
      <c r="C258" s="192"/>
      <c r="D258" s="192"/>
      <c r="E258" s="208">
        <v>45553</v>
      </c>
      <c r="F258" s="192" t="s">
        <v>436</v>
      </c>
      <c r="G258" s="192" t="s">
        <v>38</v>
      </c>
      <c r="H258" s="194">
        <v>9000000</v>
      </c>
      <c r="I258" s="224"/>
      <c r="J258" s="225">
        <f t="shared" si="72"/>
        <v>15</v>
      </c>
      <c r="K258" s="210">
        <v>24</v>
      </c>
      <c r="L258" s="198">
        <f t="shared" si="71"/>
        <v>0.625</v>
      </c>
      <c r="M258" s="194">
        <v>3750000</v>
      </c>
      <c r="N258" s="199">
        <f t="shared" si="74"/>
        <v>375000</v>
      </c>
      <c r="O258" s="226">
        <f t="shared" si="75"/>
        <v>225000</v>
      </c>
      <c r="P258" s="226"/>
      <c r="Q258" s="226">
        <f t="shared" si="73"/>
        <v>600000</v>
      </c>
      <c r="R258" s="201">
        <f>'[1]NOV''25'!Q262+N258-V258</f>
        <v>0</v>
      </c>
      <c r="S258" s="201">
        <f>'[1]NOV''25'!R262+O258-W258</f>
        <v>0</v>
      </c>
      <c r="T258" s="201">
        <f>'[1]NOV''25'!S262+P258-X258</f>
        <v>0</v>
      </c>
      <c r="U258" s="200">
        <f t="shared" si="70"/>
        <v>0</v>
      </c>
      <c r="V258" s="202">
        <v>375000</v>
      </c>
      <c r="W258" s="203">
        <v>225000</v>
      </c>
      <c r="X258" s="203"/>
      <c r="Y258" s="200">
        <f t="shared" si="76"/>
        <v>600000</v>
      </c>
      <c r="Z258" s="207">
        <f t="shared" si="77"/>
        <v>3375000</v>
      </c>
      <c r="AA258" s="96"/>
      <c r="AB258" s="96" t="e">
        <f>#REF!-#REF!</f>
        <v>#REF!</v>
      </c>
    </row>
    <row r="259" spans="2:28" s="13" customFormat="1" ht="11.4" x14ac:dyDescent="0.2">
      <c r="B259" s="191">
        <v>121</v>
      </c>
      <c r="C259" s="192"/>
      <c r="D259" s="192"/>
      <c r="E259" s="208">
        <v>45553</v>
      </c>
      <c r="F259" s="192" t="s">
        <v>437</v>
      </c>
      <c r="G259" s="192" t="s">
        <v>30</v>
      </c>
      <c r="H259" s="194">
        <v>8100000</v>
      </c>
      <c r="I259" s="224"/>
      <c r="J259" s="225">
        <f t="shared" si="72"/>
        <v>15</v>
      </c>
      <c r="K259" s="210">
        <v>24</v>
      </c>
      <c r="L259" s="198">
        <f t="shared" si="71"/>
        <v>0.625</v>
      </c>
      <c r="M259" s="194">
        <v>3375000</v>
      </c>
      <c r="N259" s="199">
        <f t="shared" si="74"/>
        <v>337500</v>
      </c>
      <c r="O259" s="226">
        <f t="shared" si="75"/>
        <v>202500</v>
      </c>
      <c r="P259" s="226"/>
      <c r="Q259" s="226">
        <f t="shared" si="73"/>
        <v>540000</v>
      </c>
      <c r="R259" s="201">
        <f>'[1]NOV''25'!Q263+N259-V259</f>
        <v>0</v>
      </c>
      <c r="S259" s="201">
        <f>'[1]NOV''25'!R263+O259-W259</f>
        <v>0</v>
      </c>
      <c r="T259" s="201">
        <f>'[1]NOV''25'!S263+P259-X259</f>
        <v>0</v>
      </c>
      <c r="U259" s="200">
        <f t="shared" si="70"/>
        <v>0</v>
      </c>
      <c r="V259" s="202">
        <v>337500</v>
      </c>
      <c r="W259" s="203">
        <v>202500</v>
      </c>
      <c r="X259" s="203"/>
      <c r="Y259" s="200">
        <f t="shared" si="76"/>
        <v>540000</v>
      </c>
      <c r="Z259" s="207">
        <f t="shared" si="77"/>
        <v>3037500</v>
      </c>
      <c r="AA259" s="96"/>
      <c r="AB259" s="96" t="e">
        <f>#REF!-#REF!</f>
        <v>#REF!</v>
      </c>
    </row>
    <row r="260" spans="2:28" s="13" customFormat="1" ht="11.4" x14ac:dyDescent="0.2">
      <c r="B260" s="191">
        <v>122</v>
      </c>
      <c r="C260" s="192"/>
      <c r="D260" s="192"/>
      <c r="E260" s="208">
        <v>45554</v>
      </c>
      <c r="F260" s="192" t="s">
        <v>438</v>
      </c>
      <c r="G260" s="192" t="s">
        <v>282</v>
      </c>
      <c r="H260" s="194">
        <v>11400000</v>
      </c>
      <c r="I260" s="224"/>
      <c r="J260" s="225">
        <f t="shared" si="72"/>
        <v>15.01157894736842</v>
      </c>
      <c r="K260" s="210">
        <v>24</v>
      </c>
      <c r="L260" s="198">
        <f t="shared" si="71"/>
        <v>0.62548245614035081</v>
      </c>
      <c r="M260" s="194">
        <v>4744500</v>
      </c>
      <c r="N260" s="199">
        <f t="shared" si="74"/>
        <v>475000</v>
      </c>
      <c r="O260" s="226">
        <f t="shared" si="75"/>
        <v>285000</v>
      </c>
      <c r="P260" s="226"/>
      <c r="Q260" s="226">
        <f t="shared" si="73"/>
        <v>760000</v>
      </c>
      <c r="R260" s="201">
        <f>'[1]NOV''25'!Q264+N260-V260</f>
        <v>0</v>
      </c>
      <c r="S260" s="201">
        <f>'[1]NOV''25'!R264+O260-W260</f>
        <v>0</v>
      </c>
      <c r="T260" s="201">
        <f>'[1]NOV''25'!S264+P260-X260</f>
        <v>0</v>
      </c>
      <c r="U260" s="200">
        <f t="shared" si="70"/>
        <v>0</v>
      </c>
      <c r="V260" s="202">
        <v>475000</v>
      </c>
      <c r="W260" s="203">
        <v>285000</v>
      </c>
      <c r="X260" s="203"/>
      <c r="Y260" s="200">
        <f t="shared" si="76"/>
        <v>760000</v>
      </c>
      <c r="Z260" s="207">
        <f t="shared" si="77"/>
        <v>4269500</v>
      </c>
      <c r="AA260" s="96"/>
      <c r="AB260" s="96" t="e">
        <f>#REF!-#REF!</f>
        <v>#REF!</v>
      </c>
    </row>
    <row r="261" spans="2:28" s="13" customFormat="1" ht="11.4" x14ac:dyDescent="0.2">
      <c r="B261" s="191">
        <v>123</v>
      </c>
      <c r="C261" s="192"/>
      <c r="D261" s="192"/>
      <c r="E261" s="208">
        <v>45554</v>
      </c>
      <c r="F261" s="192" t="s">
        <v>439</v>
      </c>
      <c r="G261" s="192" t="s">
        <v>284</v>
      </c>
      <c r="H261" s="194">
        <v>10000000</v>
      </c>
      <c r="I261" s="224"/>
      <c r="J261" s="225">
        <f t="shared" si="72"/>
        <v>14.999999999999993</v>
      </c>
      <c r="K261" s="210">
        <v>24</v>
      </c>
      <c r="L261" s="198">
        <f t="shared" si="71"/>
        <v>0.62499999999999967</v>
      </c>
      <c r="M261" s="194">
        <v>4166666.6666666698</v>
      </c>
      <c r="N261" s="199">
        <f t="shared" si="74"/>
        <v>416666.66666666669</v>
      </c>
      <c r="O261" s="226">
        <f t="shared" si="75"/>
        <v>250000</v>
      </c>
      <c r="P261" s="226"/>
      <c r="Q261" s="226">
        <f t="shared" si="73"/>
        <v>666666.66666666674</v>
      </c>
      <c r="R261" s="201">
        <f>'[1]NOV''25'!Q265+N261-V261</f>
        <v>-0.33333333360496908</v>
      </c>
      <c r="S261" s="201">
        <f>'[1]NOV''25'!R265+O261-W261</f>
        <v>0</v>
      </c>
      <c r="T261" s="201">
        <f>'[1]NOV''25'!S265+P261-X261</f>
        <v>0</v>
      </c>
      <c r="U261" s="200">
        <f t="shared" si="70"/>
        <v>-0.33333333360496908</v>
      </c>
      <c r="V261" s="202">
        <v>416666.66666666698</v>
      </c>
      <c r="W261" s="203">
        <v>250000</v>
      </c>
      <c r="X261" s="203"/>
      <c r="Y261" s="200">
        <f t="shared" si="76"/>
        <v>666666.66666666698</v>
      </c>
      <c r="Z261" s="207">
        <f t="shared" si="77"/>
        <v>3750000.0000000028</v>
      </c>
      <c r="AA261" s="96"/>
      <c r="AB261" s="96" t="e">
        <f>#REF!-#REF!</f>
        <v>#REF!</v>
      </c>
    </row>
    <row r="262" spans="2:28" s="13" customFormat="1" ht="11.4" x14ac:dyDescent="0.2">
      <c r="B262" s="191">
        <v>124</v>
      </c>
      <c r="C262" s="192"/>
      <c r="D262" s="192"/>
      <c r="E262" s="208">
        <v>45555</v>
      </c>
      <c r="F262" s="192" t="s">
        <v>440</v>
      </c>
      <c r="G262" s="192" t="s">
        <v>383</v>
      </c>
      <c r="H262" s="248">
        <v>8700000</v>
      </c>
      <c r="I262" s="224"/>
      <c r="J262" s="225">
        <f t="shared" si="72"/>
        <v>15</v>
      </c>
      <c r="K262" s="210">
        <v>24</v>
      </c>
      <c r="L262" s="198">
        <f t="shared" si="71"/>
        <v>0.625</v>
      </c>
      <c r="M262" s="194">
        <v>3625000</v>
      </c>
      <c r="N262" s="199">
        <f t="shared" si="74"/>
        <v>362500</v>
      </c>
      <c r="O262" s="226">
        <f t="shared" si="75"/>
        <v>217500</v>
      </c>
      <c r="P262" s="226"/>
      <c r="Q262" s="226">
        <f t="shared" si="73"/>
        <v>580000</v>
      </c>
      <c r="R262" s="201">
        <f>'[1]NOV''25'!Q266+N262-V262</f>
        <v>0</v>
      </c>
      <c r="S262" s="201">
        <f>'[1]NOV''25'!R266+O262-W262</f>
        <v>0</v>
      </c>
      <c r="T262" s="201">
        <f>'[1]NOV''25'!S266+P262-X262</f>
        <v>0</v>
      </c>
      <c r="U262" s="200">
        <f t="shared" si="70"/>
        <v>0</v>
      </c>
      <c r="V262" s="202">
        <v>362500</v>
      </c>
      <c r="W262" s="203">
        <v>217500</v>
      </c>
      <c r="X262" s="203"/>
      <c r="Y262" s="200">
        <f t="shared" si="76"/>
        <v>580000</v>
      </c>
      <c r="Z262" s="207">
        <f t="shared" si="77"/>
        <v>3262500</v>
      </c>
      <c r="AA262" s="96"/>
      <c r="AB262" s="96" t="e">
        <f>#REF!-#REF!</f>
        <v>#REF!</v>
      </c>
    </row>
    <row r="263" spans="2:28" s="13" customFormat="1" ht="11.4" x14ac:dyDescent="0.2">
      <c r="B263" s="191">
        <v>125</v>
      </c>
      <c r="C263" s="192"/>
      <c r="D263" s="192"/>
      <c r="E263" s="208">
        <v>45555</v>
      </c>
      <c r="F263" s="192" t="s">
        <v>441</v>
      </c>
      <c r="G263" s="192" t="s">
        <v>352</v>
      </c>
      <c r="H263" s="248">
        <v>13350000</v>
      </c>
      <c r="I263" s="224"/>
      <c r="J263" s="225">
        <f t="shared" si="72"/>
        <v>13</v>
      </c>
      <c r="K263" s="210">
        <v>24</v>
      </c>
      <c r="L263" s="198">
        <f t="shared" si="71"/>
        <v>0.54166666666666663</v>
      </c>
      <c r="M263" s="194">
        <v>6118750</v>
      </c>
      <c r="N263" s="199">
        <f t="shared" si="74"/>
        <v>556250</v>
      </c>
      <c r="O263" s="226">
        <f t="shared" si="75"/>
        <v>333750</v>
      </c>
      <c r="P263" s="226"/>
      <c r="Q263" s="226">
        <f t="shared" si="73"/>
        <v>890000</v>
      </c>
      <c r="R263" s="201">
        <f>'[1]NOV''25'!Q267+N263-V263</f>
        <v>1112500</v>
      </c>
      <c r="S263" s="201">
        <f>'[1]NOV''25'!R267+O263-W263</f>
        <v>667500</v>
      </c>
      <c r="T263" s="201">
        <f>'[1]NOV''25'!S267+P263-X263</f>
        <v>0</v>
      </c>
      <c r="U263" s="200">
        <f t="shared" ref="U263:U326" si="78">+R263+S263+T263</f>
        <v>1780000</v>
      </c>
      <c r="V263" s="202"/>
      <c r="W263" s="203"/>
      <c r="X263" s="203"/>
      <c r="Y263" s="200">
        <f t="shared" si="76"/>
        <v>0</v>
      </c>
      <c r="Z263" s="207">
        <f t="shared" si="77"/>
        <v>6118750</v>
      </c>
      <c r="AA263" s="96"/>
      <c r="AB263" s="96" t="e">
        <f>#REF!-#REF!</f>
        <v>#REF!</v>
      </c>
    </row>
    <row r="264" spans="2:28" s="13" customFormat="1" ht="11.4" x14ac:dyDescent="0.2">
      <c r="B264" s="191">
        <v>126</v>
      </c>
      <c r="C264" s="192"/>
      <c r="D264" s="192"/>
      <c r="E264" s="208">
        <v>45559</v>
      </c>
      <c r="F264" s="192" t="s">
        <v>442</v>
      </c>
      <c r="G264" s="192" t="s">
        <v>383</v>
      </c>
      <c r="H264" s="248">
        <v>5600000</v>
      </c>
      <c r="I264" s="224"/>
      <c r="J264" s="225">
        <f t="shared" si="72"/>
        <v>15.000001428571426</v>
      </c>
      <c r="K264" s="210">
        <v>24</v>
      </c>
      <c r="L264" s="198">
        <f t="shared" si="71"/>
        <v>0.62500005952380944</v>
      </c>
      <c r="M264" s="194">
        <v>2333333</v>
      </c>
      <c r="N264" s="199">
        <f t="shared" si="74"/>
        <v>233333.33333333334</v>
      </c>
      <c r="O264" s="226">
        <f t="shared" si="75"/>
        <v>140000</v>
      </c>
      <c r="P264" s="226"/>
      <c r="Q264" s="200">
        <f t="shared" si="73"/>
        <v>373333.33333333337</v>
      </c>
      <c r="R264" s="201">
        <f>'[1]NOV''25'!Q268+N264-V264</f>
        <v>3.4924596548080444E-10</v>
      </c>
      <c r="S264" s="201">
        <f>'[1]NOV''25'!R268+O264-W264</f>
        <v>0</v>
      </c>
      <c r="T264" s="201">
        <f>'[1]NOV''25'!S268+P264-X264</f>
        <v>0</v>
      </c>
      <c r="U264" s="200">
        <f t="shared" si="78"/>
        <v>3.4924596548080444E-10</v>
      </c>
      <c r="V264" s="202">
        <v>233333.33333333299</v>
      </c>
      <c r="W264" s="203">
        <v>140000</v>
      </c>
      <c r="X264" s="203"/>
      <c r="Y264" s="200">
        <f t="shared" si="76"/>
        <v>373333.33333333302</v>
      </c>
      <c r="Z264" s="207">
        <f t="shared" si="77"/>
        <v>2099999.666666667</v>
      </c>
      <c r="AA264" s="96"/>
      <c r="AB264" s="96" t="e">
        <f>#REF!-#REF!</f>
        <v>#REF!</v>
      </c>
    </row>
    <row r="265" spans="2:28" s="13" customFormat="1" ht="11.4" x14ac:dyDescent="0.2">
      <c r="B265" s="191">
        <v>127</v>
      </c>
      <c r="C265" s="192"/>
      <c r="D265" s="192"/>
      <c r="E265" s="208">
        <v>45559</v>
      </c>
      <c r="F265" s="192" t="s">
        <v>443</v>
      </c>
      <c r="G265" s="192" t="s">
        <v>383</v>
      </c>
      <c r="H265" s="248">
        <v>11800000</v>
      </c>
      <c r="I265" s="224"/>
      <c r="J265" s="225">
        <f t="shared" si="72"/>
        <v>14.999999322033899</v>
      </c>
      <c r="K265" s="210">
        <v>24</v>
      </c>
      <c r="L265" s="198">
        <f t="shared" si="71"/>
        <v>0.62499997175141242</v>
      </c>
      <c r="M265" s="194">
        <v>4916667</v>
      </c>
      <c r="N265" s="199">
        <f t="shared" si="74"/>
        <v>491666.66666666669</v>
      </c>
      <c r="O265" s="226">
        <f t="shared" si="75"/>
        <v>295000</v>
      </c>
      <c r="P265" s="226"/>
      <c r="Q265" s="200">
        <f t="shared" si="73"/>
        <v>786666.66666666674</v>
      </c>
      <c r="R265" s="201">
        <f>'[1]NOV''25'!Q269+N265-V265</f>
        <v>0</v>
      </c>
      <c r="S265" s="201">
        <f>'[1]NOV''25'!R269+O265-W265</f>
        <v>0</v>
      </c>
      <c r="T265" s="201">
        <f>'[1]NOV''25'!S269+P265-X265</f>
        <v>0</v>
      </c>
      <c r="U265" s="200">
        <f t="shared" si="78"/>
        <v>0</v>
      </c>
      <c r="V265" s="202">
        <v>491666.66666666698</v>
      </c>
      <c r="W265" s="203">
        <v>295000</v>
      </c>
      <c r="X265" s="203"/>
      <c r="Y265" s="200">
        <f t="shared" si="76"/>
        <v>786666.66666666698</v>
      </c>
      <c r="Z265" s="207">
        <f t="shared" si="77"/>
        <v>4425000.333333333</v>
      </c>
      <c r="AA265" s="96"/>
      <c r="AB265" s="96" t="e">
        <f>#REF!-#REF!</f>
        <v>#REF!</v>
      </c>
    </row>
    <row r="266" spans="2:28" s="13" customFormat="1" ht="11.4" x14ac:dyDescent="0.2">
      <c r="B266" s="191">
        <v>128</v>
      </c>
      <c r="C266" s="192"/>
      <c r="D266" s="192"/>
      <c r="E266" s="208">
        <v>45560</v>
      </c>
      <c r="F266" s="192" t="s">
        <v>444</v>
      </c>
      <c r="G266" s="192" t="s">
        <v>84</v>
      </c>
      <c r="H266" s="248">
        <v>4150000</v>
      </c>
      <c r="I266" s="224"/>
      <c r="J266" s="225">
        <f t="shared" si="72"/>
        <v>14.999998072289159</v>
      </c>
      <c r="K266" s="210">
        <v>24</v>
      </c>
      <c r="L266" s="198">
        <f t="shared" si="71"/>
        <v>0.62499991967871493</v>
      </c>
      <c r="M266" s="194">
        <v>1729167</v>
      </c>
      <c r="N266" s="199">
        <f t="shared" si="74"/>
        <v>172916.66666666666</v>
      </c>
      <c r="O266" s="226">
        <f t="shared" si="75"/>
        <v>103750</v>
      </c>
      <c r="P266" s="226"/>
      <c r="Q266" s="200">
        <f t="shared" si="73"/>
        <v>276666.66666666663</v>
      </c>
      <c r="R266" s="201">
        <f>'[1]NOV''25'!Q270+N266-V266</f>
        <v>-3.4924596548080444E-10</v>
      </c>
      <c r="S266" s="201">
        <f>'[1]NOV''25'!R270+O266-W266</f>
        <v>0</v>
      </c>
      <c r="T266" s="201">
        <f>'[1]NOV''25'!S270+P266-X266</f>
        <v>0</v>
      </c>
      <c r="U266" s="200">
        <f t="shared" si="78"/>
        <v>-3.4924596548080444E-10</v>
      </c>
      <c r="V266" s="202">
        <v>172916.66666666701</v>
      </c>
      <c r="W266" s="203">
        <v>103750</v>
      </c>
      <c r="X266" s="203"/>
      <c r="Y266" s="200">
        <f t="shared" si="76"/>
        <v>276666.66666666698</v>
      </c>
      <c r="Z266" s="207">
        <f t="shared" si="77"/>
        <v>1556250.333333333</v>
      </c>
      <c r="AA266" s="96"/>
      <c r="AB266" s="96" t="e">
        <f>#REF!-#REF!</f>
        <v>#REF!</v>
      </c>
    </row>
    <row r="267" spans="2:28" s="13" customFormat="1" ht="11.4" x14ac:dyDescent="0.2">
      <c r="B267" s="191">
        <v>129</v>
      </c>
      <c r="C267" s="192"/>
      <c r="D267" s="192"/>
      <c r="E267" s="208">
        <v>45562</v>
      </c>
      <c r="F267" s="192" t="s">
        <v>445</v>
      </c>
      <c r="G267" s="192" t="s">
        <v>383</v>
      </c>
      <c r="H267" s="248">
        <v>10000000</v>
      </c>
      <c r="I267" s="224"/>
      <c r="J267" s="225">
        <f t="shared" si="72"/>
        <v>12.999999199999992</v>
      </c>
      <c r="K267" s="210">
        <v>24</v>
      </c>
      <c r="L267" s="198">
        <f t="shared" si="71"/>
        <v>0.54166663333333298</v>
      </c>
      <c r="M267" s="194">
        <v>4583333.6666666698</v>
      </c>
      <c r="N267" s="199">
        <f t="shared" si="74"/>
        <v>416666.66666666669</v>
      </c>
      <c r="O267" s="226">
        <f t="shared" si="75"/>
        <v>250000</v>
      </c>
      <c r="P267" s="226"/>
      <c r="Q267" s="200">
        <f t="shared" si="73"/>
        <v>666666.66666666674</v>
      </c>
      <c r="R267" s="201">
        <f>'[1]NOV''25'!Q271+N267-V267</f>
        <v>833333.33333333372</v>
      </c>
      <c r="S267" s="201">
        <f>'[1]NOV''25'!R271+O267-W267</f>
        <v>500000</v>
      </c>
      <c r="T267" s="201">
        <f>'[1]NOV''25'!S271+P267-X267</f>
        <v>0</v>
      </c>
      <c r="U267" s="200">
        <f t="shared" si="78"/>
        <v>1333333.3333333337</v>
      </c>
      <c r="V267" s="202"/>
      <c r="W267" s="203"/>
      <c r="X267" s="203"/>
      <c r="Y267" s="200">
        <f t="shared" si="76"/>
        <v>0</v>
      </c>
      <c r="Z267" s="207">
        <f t="shared" si="77"/>
        <v>4583333.6666666698</v>
      </c>
      <c r="AA267" s="96"/>
      <c r="AB267" s="96" t="e">
        <f>#REF!-#REF!</f>
        <v>#REF!</v>
      </c>
    </row>
    <row r="268" spans="2:28" s="13" customFormat="1" ht="11.4" x14ac:dyDescent="0.2">
      <c r="B268" s="191">
        <v>130</v>
      </c>
      <c r="C268" s="192"/>
      <c r="D268" s="192"/>
      <c r="E268" s="208">
        <v>45531</v>
      </c>
      <c r="F268" s="192" t="s">
        <v>446</v>
      </c>
      <c r="G268" s="192" t="s">
        <v>447</v>
      </c>
      <c r="H268" s="248">
        <v>8230000</v>
      </c>
      <c r="I268" s="224"/>
      <c r="J268" s="225">
        <f t="shared" si="72"/>
        <v>13.999999027946528</v>
      </c>
      <c r="K268" s="210">
        <v>24</v>
      </c>
      <c r="L268" s="198">
        <f t="shared" si="71"/>
        <v>0.58333329283110535</v>
      </c>
      <c r="M268" s="194">
        <v>3772083.6666666698</v>
      </c>
      <c r="N268" s="199">
        <f t="shared" si="74"/>
        <v>342916.66666666669</v>
      </c>
      <c r="O268" s="226">
        <f t="shared" si="75"/>
        <v>205750</v>
      </c>
      <c r="P268" s="226"/>
      <c r="Q268" s="200">
        <f t="shared" si="73"/>
        <v>548666.66666666674</v>
      </c>
      <c r="R268" s="201">
        <f>'[1]NOV''25'!Q272+N268-V268</f>
        <v>342916.66666666674</v>
      </c>
      <c r="S268" s="201">
        <f>'[1]NOV''25'!R272+O268-W268</f>
        <v>50970</v>
      </c>
      <c r="T268" s="201">
        <f>'[1]NOV''25'!S272+P268-X268</f>
        <v>0</v>
      </c>
      <c r="U268" s="200">
        <f t="shared" si="78"/>
        <v>393886.66666666674</v>
      </c>
      <c r="V268" s="202">
        <v>342916.66666666698</v>
      </c>
      <c r="W268" s="203">
        <f>205750+154780</f>
        <v>360530</v>
      </c>
      <c r="X268" s="203"/>
      <c r="Y268" s="200">
        <f t="shared" si="76"/>
        <v>703446.66666666698</v>
      </c>
      <c r="Z268" s="207">
        <f t="shared" si="77"/>
        <v>3429167.0000000028</v>
      </c>
      <c r="AA268" s="96"/>
      <c r="AB268" s="96" t="e">
        <f>#REF!-#REF!</f>
        <v>#REF!</v>
      </c>
    </row>
    <row r="269" spans="2:28" s="13" customFormat="1" ht="11.4" x14ac:dyDescent="0.2">
      <c r="B269" s="191">
        <v>131</v>
      </c>
      <c r="C269" s="192"/>
      <c r="D269" s="192"/>
      <c r="E269" s="208">
        <v>45565</v>
      </c>
      <c r="F269" s="192" t="s">
        <v>448</v>
      </c>
      <c r="G269" s="192" t="s">
        <v>449</v>
      </c>
      <c r="H269" s="248">
        <v>5950000</v>
      </c>
      <c r="I269" s="224"/>
      <c r="J269" s="225">
        <f t="shared" si="72"/>
        <v>14.999998655462187</v>
      </c>
      <c r="K269" s="210">
        <v>24</v>
      </c>
      <c r="L269" s="198">
        <f t="shared" ref="L269:L332" si="79">J269/K269</f>
        <v>0.62499994397759118</v>
      </c>
      <c r="M269" s="194">
        <v>2479167</v>
      </c>
      <c r="N269" s="199">
        <f t="shared" si="74"/>
        <v>247916.66666666666</v>
      </c>
      <c r="O269" s="226">
        <f t="shared" si="75"/>
        <v>148750</v>
      </c>
      <c r="P269" s="226"/>
      <c r="Q269" s="200">
        <f t="shared" si="73"/>
        <v>396666.66666666663</v>
      </c>
      <c r="R269" s="201">
        <f>'[1]NOV''25'!Q273+N269-V269</f>
        <v>-3.4924596548080444E-10</v>
      </c>
      <c r="S269" s="201">
        <f>'[1]NOV''25'!R273+O269-W269</f>
        <v>0</v>
      </c>
      <c r="T269" s="201">
        <f>'[1]NOV''25'!S273+P269-X269</f>
        <v>0</v>
      </c>
      <c r="U269" s="200">
        <f t="shared" si="78"/>
        <v>-3.4924596548080444E-10</v>
      </c>
      <c r="V269" s="202">
        <v>247916.66666666701</v>
      </c>
      <c r="W269" s="203">
        <v>148750</v>
      </c>
      <c r="X269" s="203"/>
      <c r="Y269" s="200">
        <f t="shared" si="76"/>
        <v>396666.66666666698</v>
      </c>
      <c r="Z269" s="207">
        <f t="shared" si="77"/>
        <v>2231250.333333333</v>
      </c>
      <c r="AA269" s="96"/>
      <c r="AB269" s="96" t="e">
        <f>#REF!-#REF!</f>
        <v>#REF!</v>
      </c>
    </row>
    <row r="270" spans="2:28" s="13" customFormat="1" ht="11.4" x14ac:dyDescent="0.2">
      <c r="B270" s="191">
        <v>132</v>
      </c>
      <c r="C270" s="192"/>
      <c r="D270" s="192"/>
      <c r="E270" s="208">
        <v>45566</v>
      </c>
      <c r="F270" s="192" t="s">
        <v>450</v>
      </c>
      <c r="G270" s="209" t="s">
        <v>38</v>
      </c>
      <c r="H270" s="194">
        <v>5000000</v>
      </c>
      <c r="I270" s="224"/>
      <c r="J270" s="225">
        <f t="shared" si="72"/>
        <v>14.000003199999998</v>
      </c>
      <c r="K270" s="210">
        <v>24</v>
      </c>
      <c r="L270" s="198">
        <f t="shared" si="79"/>
        <v>0.58333346666666663</v>
      </c>
      <c r="M270" s="194">
        <v>2291666</v>
      </c>
      <c r="N270" s="199">
        <f t="shared" si="74"/>
        <v>208333.33333333334</v>
      </c>
      <c r="O270" s="200">
        <f t="shared" si="75"/>
        <v>125000</v>
      </c>
      <c r="P270" s="200"/>
      <c r="Q270" s="200">
        <f t="shared" si="73"/>
        <v>333333.33333333337</v>
      </c>
      <c r="R270" s="201">
        <f>'[1]NOV''25'!Q274+N270-V270</f>
        <v>3.4924596548080444E-10</v>
      </c>
      <c r="S270" s="201">
        <f>'[1]NOV''25'!R274+O270-W270</f>
        <v>0</v>
      </c>
      <c r="T270" s="201">
        <f>'[1]NOV''25'!S274+P270-X270</f>
        <v>0</v>
      </c>
      <c r="U270" s="200">
        <f t="shared" si="78"/>
        <v>3.4924596548080444E-10</v>
      </c>
      <c r="V270" s="202">
        <v>208333.33333333299</v>
      </c>
      <c r="W270" s="203">
        <v>125000</v>
      </c>
      <c r="X270" s="203"/>
      <c r="Y270" s="200">
        <f t="shared" si="76"/>
        <v>333333.33333333302</v>
      </c>
      <c r="Z270" s="207">
        <f t="shared" si="77"/>
        <v>2083332.666666667</v>
      </c>
      <c r="AA270" s="96"/>
      <c r="AB270" s="96" t="e">
        <f>#REF!-#REF!</f>
        <v>#REF!</v>
      </c>
    </row>
    <row r="271" spans="2:28" s="13" customFormat="1" ht="11.4" x14ac:dyDescent="0.2">
      <c r="B271" s="191">
        <v>133</v>
      </c>
      <c r="C271" s="192"/>
      <c r="D271" s="192"/>
      <c r="E271" s="208">
        <v>45566</v>
      </c>
      <c r="F271" s="192" t="s">
        <v>451</v>
      </c>
      <c r="G271" s="209" t="s">
        <v>84</v>
      </c>
      <c r="H271" s="194">
        <v>3000000</v>
      </c>
      <c r="I271" s="224"/>
      <c r="J271" s="225">
        <f t="shared" si="72"/>
        <v>14</v>
      </c>
      <c r="K271" s="210">
        <v>24</v>
      </c>
      <c r="L271" s="198">
        <f t="shared" si="79"/>
        <v>0.58333333333333337</v>
      </c>
      <c r="M271" s="194">
        <v>1375000</v>
      </c>
      <c r="N271" s="199">
        <f t="shared" si="74"/>
        <v>125000</v>
      </c>
      <c r="O271" s="200">
        <f t="shared" si="75"/>
        <v>75000</v>
      </c>
      <c r="P271" s="200"/>
      <c r="Q271" s="200">
        <f t="shared" si="73"/>
        <v>200000</v>
      </c>
      <c r="R271" s="201">
        <f>'[1]NOV''25'!Q275+N271-V271</f>
        <v>0</v>
      </c>
      <c r="S271" s="201">
        <f>'[1]NOV''25'!R275+O271-W271</f>
        <v>0</v>
      </c>
      <c r="T271" s="201">
        <f>'[1]NOV''25'!S275+P271-X271</f>
        <v>0</v>
      </c>
      <c r="U271" s="200">
        <f t="shared" si="78"/>
        <v>0</v>
      </c>
      <c r="V271" s="202">
        <v>125000</v>
      </c>
      <c r="W271" s="203">
        <v>75000</v>
      </c>
      <c r="X271" s="203"/>
      <c r="Y271" s="200">
        <f t="shared" si="76"/>
        <v>200000</v>
      </c>
      <c r="Z271" s="207">
        <f t="shared" si="77"/>
        <v>1250000</v>
      </c>
      <c r="AA271" s="96"/>
      <c r="AB271" s="96" t="e">
        <f>#REF!-#REF!</f>
        <v>#REF!</v>
      </c>
    </row>
    <row r="272" spans="2:28" s="13" customFormat="1" ht="11.4" x14ac:dyDescent="0.2">
      <c r="B272" s="191">
        <v>134</v>
      </c>
      <c r="C272" s="192"/>
      <c r="D272" s="192"/>
      <c r="E272" s="208">
        <v>45566</v>
      </c>
      <c r="F272" s="192" t="s">
        <v>452</v>
      </c>
      <c r="G272" s="209" t="s">
        <v>27</v>
      </c>
      <c r="H272" s="194">
        <v>3500000</v>
      </c>
      <c r="I272" s="224"/>
      <c r="J272" s="225">
        <f t="shared" si="72"/>
        <v>14.000004571428569</v>
      </c>
      <c r="K272" s="210">
        <v>24</v>
      </c>
      <c r="L272" s="198">
        <f t="shared" si="79"/>
        <v>0.58333352380952375</v>
      </c>
      <c r="M272" s="194">
        <v>1604166</v>
      </c>
      <c r="N272" s="199">
        <f t="shared" si="74"/>
        <v>145833.33333333334</v>
      </c>
      <c r="O272" s="200">
        <f t="shared" si="75"/>
        <v>87500</v>
      </c>
      <c r="P272" s="200"/>
      <c r="Q272" s="200">
        <f t="shared" si="73"/>
        <v>233333.33333333334</v>
      </c>
      <c r="R272" s="201">
        <f>'[1]NOV''25'!Q276+N272-V272</f>
        <v>3.4924596548080444E-10</v>
      </c>
      <c r="S272" s="201">
        <f>'[1]NOV''25'!R276+O272-W272</f>
        <v>0</v>
      </c>
      <c r="T272" s="201">
        <f>'[1]NOV''25'!S276+P272-X272</f>
        <v>0</v>
      </c>
      <c r="U272" s="200">
        <f t="shared" si="78"/>
        <v>3.4924596548080444E-10</v>
      </c>
      <c r="V272" s="202">
        <v>145833.33333333299</v>
      </c>
      <c r="W272" s="203">
        <v>87500</v>
      </c>
      <c r="X272" s="203"/>
      <c r="Y272" s="200">
        <f t="shared" si="76"/>
        <v>233333.33333333299</v>
      </c>
      <c r="Z272" s="207">
        <f t="shared" si="77"/>
        <v>1458332.666666667</v>
      </c>
      <c r="AA272" s="96"/>
      <c r="AB272" s="96" t="e">
        <f>#REF!-#REF!</f>
        <v>#REF!</v>
      </c>
    </row>
    <row r="273" spans="2:28" s="55" customFormat="1" x14ac:dyDescent="0.3">
      <c r="B273" s="191">
        <v>135</v>
      </c>
      <c r="C273" s="192"/>
      <c r="D273" s="192"/>
      <c r="E273" s="208">
        <v>45567</v>
      </c>
      <c r="F273" s="192" t="s">
        <v>453</v>
      </c>
      <c r="G273" s="209" t="s">
        <v>33</v>
      </c>
      <c r="H273" s="194">
        <v>6000000</v>
      </c>
      <c r="I273" s="224"/>
      <c r="J273" s="225">
        <f t="shared" si="72"/>
        <v>13.192344</v>
      </c>
      <c r="K273" s="210">
        <v>24</v>
      </c>
      <c r="L273" s="198">
        <f t="shared" si="79"/>
        <v>0.54968099999999998</v>
      </c>
      <c r="M273" s="194">
        <v>3000000</v>
      </c>
      <c r="N273" s="199">
        <f t="shared" si="74"/>
        <v>250000</v>
      </c>
      <c r="O273" s="200">
        <f t="shared" si="75"/>
        <v>150000</v>
      </c>
      <c r="P273" s="200"/>
      <c r="Q273" s="200">
        <f t="shared" si="73"/>
        <v>400000</v>
      </c>
      <c r="R273" s="201">
        <f>'[1]NOV''25'!Q277+N273-V273</f>
        <v>201914</v>
      </c>
      <c r="S273" s="201">
        <f>'[1]NOV''25'!R277+O273-W273</f>
        <v>0</v>
      </c>
      <c r="T273" s="201">
        <f>'[1]NOV''25'!S277+P273-X273</f>
        <v>0</v>
      </c>
      <c r="U273" s="200">
        <f t="shared" si="78"/>
        <v>201914</v>
      </c>
      <c r="V273" s="202">
        <f>250000+48086</f>
        <v>298086</v>
      </c>
      <c r="W273" s="203">
        <f>150000+150000</f>
        <v>300000</v>
      </c>
      <c r="X273" s="203"/>
      <c r="Y273" s="200">
        <f t="shared" si="76"/>
        <v>598086</v>
      </c>
      <c r="Z273" s="207">
        <f t="shared" si="77"/>
        <v>2701914</v>
      </c>
      <c r="AA273" s="96"/>
      <c r="AB273" s="96" t="e">
        <f>#REF!-#REF!</f>
        <v>#REF!</v>
      </c>
    </row>
    <row r="274" spans="2:28" s="55" customFormat="1" x14ac:dyDescent="0.3">
      <c r="B274" s="191">
        <v>136</v>
      </c>
      <c r="C274" s="192"/>
      <c r="D274" s="192"/>
      <c r="E274" s="208">
        <v>45567</v>
      </c>
      <c r="F274" s="192" t="s">
        <v>454</v>
      </c>
      <c r="G274" s="209" t="s">
        <v>100</v>
      </c>
      <c r="H274" s="194">
        <v>8000000</v>
      </c>
      <c r="I274" s="224"/>
      <c r="J274" s="225">
        <f t="shared" si="72"/>
        <v>12.000002000000009</v>
      </c>
      <c r="K274" s="210">
        <v>24</v>
      </c>
      <c r="L274" s="198">
        <f t="shared" si="79"/>
        <v>0.50000008333333368</v>
      </c>
      <c r="M274" s="194">
        <v>3999999.3333333302</v>
      </c>
      <c r="N274" s="199">
        <f t="shared" si="74"/>
        <v>333333.33333333331</v>
      </c>
      <c r="O274" s="200">
        <f t="shared" si="75"/>
        <v>200000</v>
      </c>
      <c r="P274" s="200"/>
      <c r="Q274" s="200">
        <f t="shared" si="73"/>
        <v>533333.33333333326</v>
      </c>
      <c r="R274" s="201">
        <f>'[1]NOV''25'!Q278+N274-V274</f>
        <v>666666.66666666628</v>
      </c>
      <c r="S274" s="201">
        <f>'[1]NOV''25'!R278+O274-W274</f>
        <v>400000</v>
      </c>
      <c r="T274" s="201">
        <f>'[1]NOV''25'!S278+P274-X274</f>
        <v>0</v>
      </c>
      <c r="U274" s="200">
        <f t="shared" si="78"/>
        <v>1066666.6666666663</v>
      </c>
      <c r="V274" s="202"/>
      <c r="W274" s="203"/>
      <c r="X274" s="203"/>
      <c r="Y274" s="200">
        <f t="shared" si="76"/>
        <v>0</v>
      </c>
      <c r="Z274" s="207">
        <f t="shared" si="77"/>
        <v>3999999.3333333302</v>
      </c>
      <c r="AA274" s="96" t="s">
        <v>455</v>
      </c>
      <c r="AB274" s="96" t="e">
        <f>#REF!-#REF!</f>
        <v>#REF!</v>
      </c>
    </row>
    <row r="275" spans="2:28" s="55" customFormat="1" x14ac:dyDescent="0.3">
      <c r="B275" s="191">
        <v>137</v>
      </c>
      <c r="C275" s="192"/>
      <c r="D275" s="192"/>
      <c r="E275" s="208">
        <v>45567</v>
      </c>
      <c r="F275" s="192" t="s">
        <v>456</v>
      </c>
      <c r="G275" s="209" t="s">
        <v>383</v>
      </c>
      <c r="H275" s="194">
        <v>4000000</v>
      </c>
      <c r="I275" s="224"/>
      <c r="J275" s="225">
        <f t="shared" ref="J275:J338" si="80">(H275-Z275)/N275</f>
        <v>13.999996000000003</v>
      </c>
      <c r="K275" s="210">
        <v>24</v>
      </c>
      <c r="L275" s="198">
        <f t="shared" si="79"/>
        <v>0.58333316666666679</v>
      </c>
      <c r="M275" s="194">
        <v>1833334</v>
      </c>
      <c r="N275" s="199">
        <f t="shared" si="74"/>
        <v>166666.66666666666</v>
      </c>
      <c r="O275" s="249">
        <f t="shared" si="75"/>
        <v>100000</v>
      </c>
      <c r="P275" s="249"/>
      <c r="Q275" s="200">
        <f t="shared" ref="Q275:Q338" si="81">+N275+O275</f>
        <v>266666.66666666663</v>
      </c>
      <c r="R275" s="201">
        <f>'[1]NOV''25'!Q279+N275-V275</f>
        <v>-3.4924596548080444E-10</v>
      </c>
      <c r="S275" s="201">
        <f>'[1]NOV''25'!R279+O275-W275</f>
        <v>0</v>
      </c>
      <c r="T275" s="201">
        <f>'[1]NOV''25'!S279+P275-X275</f>
        <v>0</v>
      </c>
      <c r="U275" s="200">
        <f t="shared" si="78"/>
        <v>-3.4924596548080444E-10</v>
      </c>
      <c r="V275" s="202">
        <v>166666.66666666701</v>
      </c>
      <c r="W275" s="203">
        <v>100000</v>
      </c>
      <c r="X275" s="203"/>
      <c r="Y275" s="200">
        <f t="shared" si="76"/>
        <v>266666.66666666698</v>
      </c>
      <c r="Z275" s="207">
        <f t="shared" si="77"/>
        <v>1666667.333333333</v>
      </c>
      <c r="AA275" s="96"/>
      <c r="AB275" s="96" t="e">
        <f>#REF!-#REF!</f>
        <v>#REF!</v>
      </c>
    </row>
    <row r="276" spans="2:28" s="55" customFormat="1" x14ac:dyDescent="0.3">
      <c r="B276" s="191">
        <v>138</v>
      </c>
      <c r="C276" s="192"/>
      <c r="D276" s="192"/>
      <c r="E276" s="208">
        <v>45567</v>
      </c>
      <c r="F276" s="192" t="s">
        <v>457</v>
      </c>
      <c r="G276" s="209" t="s">
        <v>33</v>
      </c>
      <c r="H276" s="194">
        <v>3320000</v>
      </c>
      <c r="I276" s="224"/>
      <c r="J276" s="225">
        <f t="shared" si="80"/>
        <v>14.000004819277105</v>
      </c>
      <c r="K276" s="210">
        <v>24</v>
      </c>
      <c r="L276" s="198">
        <f t="shared" si="79"/>
        <v>0.58333353413654609</v>
      </c>
      <c r="M276" s="194">
        <v>1521666</v>
      </c>
      <c r="N276" s="199">
        <f t="shared" ref="N276:N339" si="82">SUM(H276/K276)</f>
        <v>138333.33333333334</v>
      </c>
      <c r="O276" s="200">
        <f t="shared" ref="O276:O339" si="83">SUM(H276*2.5/100)</f>
        <v>83000</v>
      </c>
      <c r="P276" s="200"/>
      <c r="Q276" s="200">
        <f t="shared" si="81"/>
        <v>221333.33333333334</v>
      </c>
      <c r="R276" s="201">
        <f>'[1]NOV''25'!Q280+N276-V276</f>
        <v>3.4924596548080444E-10</v>
      </c>
      <c r="S276" s="201">
        <f>'[1]NOV''25'!R280+O276-W276</f>
        <v>0</v>
      </c>
      <c r="T276" s="201">
        <f>'[1]NOV''25'!S280+P276-X276</f>
        <v>0</v>
      </c>
      <c r="U276" s="200">
        <f t="shared" si="78"/>
        <v>3.4924596548080444E-10</v>
      </c>
      <c r="V276" s="202">
        <v>138333.33333333299</v>
      </c>
      <c r="W276" s="203">
        <v>83000</v>
      </c>
      <c r="X276" s="203"/>
      <c r="Y276" s="200">
        <f t="shared" ref="Y276:Y339" si="84">+V276+W276+X276</f>
        <v>221333.33333333299</v>
      </c>
      <c r="Z276" s="207">
        <f t="shared" si="77"/>
        <v>1383332.666666667</v>
      </c>
      <c r="AA276" s="96"/>
      <c r="AB276" s="96" t="e">
        <f>#REF!-#REF!</f>
        <v>#REF!</v>
      </c>
    </row>
    <row r="277" spans="2:28" s="55" customFormat="1" x14ac:dyDescent="0.3">
      <c r="B277" s="191">
        <v>139</v>
      </c>
      <c r="C277" s="192"/>
      <c r="D277" s="192"/>
      <c r="E277" s="208">
        <v>45567</v>
      </c>
      <c r="F277" s="192" t="s">
        <v>458</v>
      </c>
      <c r="G277" s="209" t="s">
        <v>84</v>
      </c>
      <c r="H277" s="194">
        <v>3080000</v>
      </c>
      <c r="I277" s="224"/>
      <c r="J277" s="225">
        <f t="shared" si="80"/>
        <v>13.999997402597401</v>
      </c>
      <c r="K277" s="210">
        <v>24</v>
      </c>
      <c r="L277" s="198">
        <f t="shared" si="79"/>
        <v>0.58333322510822505</v>
      </c>
      <c r="M277" s="194">
        <v>1411667</v>
      </c>
      <c r="N277" s="199">
        <f t="shared" si="82"/>
        <v>128333.33333333333</v>
      </c>
      <c r="O277" s="200">
        <f t="shared" si="83"/>
        <v>77000</v>
      </c>
      <c r="P277" s="200"/>
      <c r="Q277" s="200">
        <f t="shared" si="81"/>
        <v>205333.33333333331</v>
      </c>
      <c r="R277" s="201">
        <f>'[1]NOV''25'!Q281+N277-V277</f>
        <v>3.3469405025243759E-10</v>
      </c>
      <c r="S277" s="201">
        <f>'[1]NOV''25'!R281+O277-W277</f>
        <v>0</v>
      </c>
      <c r="T277" s="201">
        <f>'[1]NOV''25'!S281+P277-X277</f>
        <v>0</v>
      </c>
      <c r="U277" s="200">
        <f t="shared" si="78"/>
        <v>3.3469405025243759E-10</v>
      </c>
      <c r="V277" s="202">
        <v>128333.33333333299</v>
      </c>
      <c r="W277" s="203">
        <v>77000</v>
      </c>
      <c r="X277" s="203"/>
      <c r="Y277" s="200">
        <f t="shared" si="84"/>
        <v>205333.33333333299</v>
      </c>
      <c r="Z277" s="207">
        <f t="shared" si="77"/>
        <v>1283333.666666667</v>
      </c>
      <c r="AA277" s="96"/>
      <c r="AB277" s="96" t="e">
        <f>#REF!-#REF!</f>
        <v>#REF!</v>
      </c>
    </row>
    <row r="278" spans="2:28" s="55" customFormat="1" x14ac:dyDescent="0.3">
      <c r="B278" s="191">
        <v>140</v>
      </c>
      <c r="C278" s="192"/>
      <c r="D278" s="192"/>
      <c r="E278" s="208">
        <v>45567</v>
      </c>
      <c r="F278" s="192" t="s">
        <v>459</v>
      </c>
      <c r="G278" s="209" t="s">
        <v>117</v>
      </c>
      <c r="H278" s="194">
        <v>3870000</v>
      </c>
      <c r="I278" s="224"/>
      <c r="J278" s="225">
        <f t="shared" si="80"/>
        <v>14</v>
      </c>
      <c r="K278" s="210">
        <v>24</v>
      </c>
      <c r="L278" s="198">
        <f t="shared" si="79"/>
        <v>0.58333333333333337</v>
      </c>
      <c r="M278" s="194">
        <v>1773750</v>
      </c>
      <c r="N278" s="199">
        <f t="shared" si="82"/>
        <v>161250</v>
      </c>
      <c r="O278" s="200">
        <f t="shared" si="83"/>
        <v>96750</v>
      </c>
      <c r="P278" s="200"/>
      <c r="Q278" s="200">
        <f t="shared" si="81"/>
        <v>258000</v>
      </c>
      <c r="R278" s="201">
        <f>'[1]NOV''25'!Q282+N278-V278</f>
        <v>0</v>
      </c>
      <c r="S278" s="201">
        <f>'[1]NOV''25'!R282+O278-W278</f>
        <v>0</v>
      </c>
      <c r="T278" s="201">
        <f>'[1]NOV''25'!S282+P278-X278</f>
        <v>0</v>
      </c>
      <c r="U278" s="200">
        <f t="shared" si="78"/>
        <v>0</v>
      </c>
      <c r="V278" s="202">
        <v>161250</v>
      </c>
      <c r="W278" s="203">
        <v>96750</v>
      </c>
      <c r="X278" s="203"/>
      <c r="Y278" s="200">
        <f t="shared" si="84"/>
        <v>258000</v>
      </c>
      <c r="Z278" s="207">
        <f t="shared" si="77"/>
        <v>1612500</v>
      </c>
      <c r="AA278" s="96"/>
      <c r="AB278" s="96" t="e">
        <f>#REF!-#REF!</f>
        <v>#REF!</v>
      </c>
    </row>
    <row r="279" spans="2:28" s="55" customFormat="1" x14ac:dyDescent="0.3">
      <c r="B279" s="191">
        <v>141</v>
      </c>
      <c r="C279" s="192"/>
      <c r="D279" s="192"/>
      <c r="E279" s="208">
        <v>45567</v>
      </c>
      <c r="F279" s="192" t="s">
        <v>460</v>
      </c>
      <c r="G279" s="209" t="s">
        <v>100</v>
      </c>
      <c r="H279" s="194">
        <v>9390000</v>
      </c>
      <c r="I279" s="224"/>
      <c r="J279" s="225">
        <f t="shared" si="80"/>
        <v>14</v>
      </c>
      <c r="K279" s="210">
        <v>24</v>
      </c>
      <c r="L279" s="198">
        <f t="shared" si="79"/>
        <v>0.58333333333333337</v>
      </c>
      <c r="M279" s="194">
        <v>4303750</v>
      </c>
      <c r="N279" s="199">
        <f t="shared" si="82"/>
        <v>391250</v>
      </c>
      <c r="O279" s="200">
        <f t="shared" si="83"/>
        <v>234750</v>
      </c>
      <c r="P279" s="200"/>
      <c r="Q279" s="200">
        <f t="shared" si="81"/>
        <v>626000</v>
      </c>
      <c r="R279" s="201">
        <f>'[1]NOV''25'!Q283+N279-V279</f>
        <v>0</v>
      </c>
      <c r="S279" s="201">
        <f>'[1]NOV''25'!R283+O279-W279</f>
        <v>0</v>
      </c>
      <c r="T279" s="201">
        <f>'[1]NOV''25'!S283+P279-X279</f>
        <v>0</v>
      </c>
      <c r="U279" s="200">
        <f t="shared" si="78"/>
        <v>0</v>
      </c>
      <c r="V279" s="202">
        <v>391250</v>
      </c>
      <c r="W279" s="203">
        <v>234750</v>
      </c>
      <c r="X279" s="203"/>
      <c r="Y279" s="200">
        <f t="shared" si="84"/>
        <v>626000</v>
      </c>
      <c r="Z279" s="207">
        <f t="shared" si="77"/>
        <v>3912500</v>
      </c>
      <c r="AA279" s="96"/>
      <c r="AB279" s="96" t="e">
        <f>#REF!-#REF!</f>
        <v>#REF!</v>
      </c>
    </row>
    <row r="280" spans="2:28" s="55" customFormat="1" x14ac:dyDescent="0.3">
      <c r="B280" s="191">
        <v>142</v>
      </c>
      <c r="C280" s="192"/>
      <c r="D280" s="192"/>
      <c r="E280" s="208">
        <v>45568</v>
      </c>
      <c r="F280" s="192" t="s">
        <v>461</v>
      </c>
      <c r="G280" s="209" t="s">
        <v>100</v>
      </c>
      <c r="H280" s="194">
        <v>2920000</v>
      </c>
      <c r="I280" s="224"/>
      <c r="J280" s="225">
        <f t="shared" si="80"/>
        <v>13.650479452054766</v>
      </c>
      <c r="K280" s="210">
        <v>24</v>
      </c>
      <c r="L280" s="198">
        <f t="shared" si="79"/>
        <v>0.56876997716894862</v>
      </c>
      <c r="M280" s="194">
        <v>1460000.66666667</v>
      </c>
      <c r="N280" s="199">
        <f t="shared" si="82"/>
        <v>121666.66666666667</v>
      </c>
      <c r="O280" s="200">
        <f t="shared" si="83"/>
        <v>73000</v>
      </c>
      <c r="P280" s="200"/>
      <c r="Q280" s="200">
        <f t="shared" si="81"/>
        <v>194666.66666666669</v>
      </c>
      <c r="R280" s="201">
        <f>'[1]NOV''25'!Q284+N280-V280</f>
        <v>42524.333333333663</v>
      </c>
      <c r="S280" s="201">
        <f>'[1]NOV''25'!R284+O280-W280</f>
        <v>0</v>
      </c>
      <c r="T280" s="201">
        <f>'[1]NOV''25'!S284+P280-X280</f>
        <v>0</v>
      </c>
      <c r="U280" s="200">
        <f t="shared" si="78"/>
        <v>42524.333333333663</v>
      </c>
      <c r="V280" s="202">
        <f>121667+79142</f>
        <v>200809</v>
      </c>
      <c r="W280" s="203">
        <f>73000+73000</f>
        <v>146000</v>
      </c>
      <c r="X280" s="203"/>
      <c r="Y280" s="200">
        <f t="shared" si="84"/>
        <v>346809</v>
      </c>
      <c r="Z280" s="207">
        <f t="shared" si="77"/>
        <v>1259191.66666667</v>
      </c>
      <c r="AA280" s="96"/>
      <c r="AB280" s="96" t="e">
        <f>#REF!-#REF!</f>
        <v>#REF!</v>
      </c>
    </row>
    <row r="281" spans="2:28" s="55" customFormat="1" x14ac:dyDescent="0.3">
      <c r="B281" s="191">
        <v>143</v>
      </c>
      <c r="C281" s="192"/>
      <c r="D281" s="192"/>
      <c r="E281" s="208">
        <v>45568</v>
      </c>
      <c r="F281" s="192" t="s">
        <v>462</v>
      </c>
      <c r="G281" s="209" t="s">
        <v>117</v>
      </c>
      <c r="H281" s="194">
        <v>2700000</v>
      </c>
      <c r="I281" s="224"/>
      <c r="J281" s="225">
        <f t="shared" si="80"/>
        <v>14</v>
      </c>
      <c r="K281" s="210">
        <v>24</v>
      </c>
      <c r="L281" s="198">
        <f t="shared" si="79"/>
        <v>0.58333333333333337</v>
      </c>
      <c r="M281" s="194">
        <v>1237500</v>
      </c>
      <c r="N281" s="199">
        <f t="shared" si="82"/>
        <v>112500</v>
      </c>
      <c r="O281" s="200">
        <f t="shared" si="83"/>
        <v>67500</v>
      </c>
      <c r="P281" s="200"/>
      <c r="Q281" s="200">
        <f t="shared" si="81"/>
        <v>180000</v>
      </c>
      <c r="R281" s="201">
        <f>'[1]NOV''25'!Q285+N281-V281</f>
        <v>0</v>
      </c>
      <c r="S281" s="201">
        <f>'[1]NOV''25'!R285+O281-W281</f>
        <v>0</v>
      </c>
      <c r="T281" s="201">
        <f>'[1]NOV''25'!S285+P281-X281</f>
        <v>0</v>
      </c>
      <c r="U281" s="200">
        <f t="shared" si="78"/>
        <v>0</v>
      </c>
      <c r="V281" s="202">
        <v>112500</v>
      </c>
      <c r="W281" s="203">
        <v>67500</v>
      </c>
      <c r="X281" s="203"/>
      <c r="Y281" s="200">
        <f t="shared" si="84"/>
        <v>180000</v>
      </c>
      <c r="Z281" s="207">
        <f t="shared" si="77"/>
        <v>1125000</v>
      </c>
      <c r="AA281" s="96"/>
      <c r="AB281" s="96" t="e">
        <f>#REF!-#REF!</f>
        <v>#REF!</v>
      </c>
    </row>
    <row r="282" spans="2:28" s="55" customFormat="1" x14ac:dyDescent="0.3">
      <c r="B282" s="191">
        <v>144</v>
      </c>
      <c r="C282" s="192"/>
      <c r="D282" s="192"/>
      <c r="E282" s="208">
        <v>45568</v>
      </c>
      <c r="F282" s="192" t="s">
        <v>463</v>
      </c>
      <c r="G282" s="209" t="s">
        <v>97</v>
      </c>
      <c r="H282" s="194">
        <v>4450000</v>
      </c>
      <c r="I282" s="224"/>
      <c r="J282" s="225">
        <f t="shared" si="80"/>
        <v>13.999996404494384</v>
      </c>
      <c r="K282" s="210">
        <v>24</v>
      </c>
      <c r="L282" s="198">
        <f t="shared" si="79"/>
        <v>0.58333318352059937</v>
      </c>
      <c r="M282" s="194">
        <v>2039584</v>
      </c>
      <c r="N282" s="199">
        <f t="shared" si="82"/>
        <v>185416.66666666666</v>
      </c>
      <c r="O282" s="200">
        <f t="shared" si="83"/>
        <v>111250</v>
      </c>
      <c r="P282" s="200"/>
      <c r="Q282" s="200">
        <f t="shared" si="81"/>
        <v>296666.66666666663</v>
      </c>
      <c r="R282" s="201">
        <f>'[1]NOV''25'!Q286+N282-V282</f>
        <v>-3.4924596548080444E-10</v>
      </c>
      <c r="S282" s="201">
        <f>'[1]NOV''25'!R286+O282-W282</f>
        <v>0</v>
      </c>
      <c r="T282" s="201">
        <f>'[1]NOV''25'!S286+P282-X282</f>
        <v>0</v>
      </c>
      <c r="U282" s="200">
        <f t="shared" si="78"/>
        <v>-3.4924596548080444E-10</v>
      </c>
      <c r="V282" s="202">
        <v>185416.66666666701</v>
      </c>
      <c r="W282" s="203">
        <v>111250</v>
      </c>
      <c r="X282" s="203"/>
      <c r="Y282" s="200">
        <f t="shared" si="84"/>
        <v>296666.66666666698</v>
      </c>
      <c r="Z282" s="207">
        <f t="shared" si="77"/>
        <v>1854167.333333333</v>
      </c>
      <c r="AA282" s="96"/>
      <c r="AB282" s="96" t="e">
        <f>#REF!-#REF!</f>
        <v>#REF!</v>
      </c>
    </row>
    <row r="283" spans="2:28" s="55" customFormat="1" x14ac:dyDescent="0.3">
      <c r="B283" s="191">
        <v>146</v>
      </c>
      <c r="C283" s="192"/>
      <c r="D283" s="192"/>
      <c r="E283" s="208">
        <v>45569</v>
      </c>
      <c r="F283" s="192" t="s">
        <v>464</v>
      </c>
      <c r="G283" s="192" t="s">
        <v>48</v>
      </c>
      <c r="H283" s="194">
        <v>6800000</v>
      </c>
      <c r="I283" s="224"/>
      <c r="J283" s="225">
        <f t="shared" si="80"/>
        <v>13.000002352941177</v>
      </c>
      <c r="K283" s="210">
        <v>24</v>
      </c>
      <c r="L283" s="198">
        <f t="shared" si="79"/>
        <v>0.54166676470588238</v>
      </c>
      <c r="M283" s="194">
        <v>3116666</v>
      </c>
      <c r="N283" s="199">
        <f t="shared" si="82"/>
        <v>283333.33333333331</v>
      </c>
      <c r="O283" s="200">
        <f t="shared" si="83"/>
        <v>170000</v>
      </c>
      <c r="P283" s="200"/>
      <c r="Q283" s="200">
        <f t="shared" si="81"/>
        <v>453333.33333333331</v>
      </c>
      <c r="R283" s="201">
        <f>'[1]NOV''25'!Q287+N283-V283</f>
        <v>283333.33333333331</v>
      </c>
      <c r="S283" s="201">
        <f>'[1]NOV''25'!R287+O283-W283</f>
        <v>170000</v>
      </c>
      <c r="T283" s="201">
        <f>'[1]NOV''25'!S287+P283-X283</f>
        <v>0</v>
      </c>
      <c r="U283" s="200">
        <f t="shared" si="78"/>
        <v>453333.33333333331</v>
      </c>
      <c r="V283" s="202"/>
      <c r="W283" s="203"/>
      <c r="X283" s="203"/>
      <c r="Y283" s="200">
        <f t="shared" si="84"/>
        <v>0</v>
      </c>
      <c r="Z283" s="207">
        <f t="shared" si="77"/>
        <v>3116666</v>
      </c>
      <c r="AA283" s="96" t="s">
        <v>455</v>
      </c>
      <c r="AB283" s="96" t="e">
        <f>#REF!-#REF!</f>
        <v>#REF!</v>
      </c>
    </row>
    <row r="284" spans="2:28" s="55" customFormat="1" x14ac:dyDescent="0.3">
      <c r="B284" s="191">
        <v>147</v>
      </c>
      <c r="C284" s="192"/>
      <c r="D284" s="192"/>
      <c r="E284" s="208">
        <v>45569</v>
      </c>
      <c r="F284" s="192" t="s">
        <v>465</v>
      </c>
      <c r="G284" s="192" t="s">
        <v>33</v>
      </c>
      <c r="H284" s="194">
        <v>2490000</v>
      </c>
      <c r="I284" s="224"/>
      <c r="J284" s="225">
        <f t="shared" si="80"/>
        <v>14</v>
      </c>
      <c r="K284" s="210">
        <v>24</v>
      </c>
      <c r="L284" s="198">
        <f t="shared" si="79"/>
        <v>0.58333333333333337</v>
      </c>
      <c r="M284" s="194">
        <v>1141250</v>
      </c>
      <c r="N284" s="199">
        <f t="shared" si="82"/>
        <v>103750</v>
      </c>
      <c r="O284" s="200">
        <f t="shared" si="83"/>
        <v>62250</v>
      </c>
      <c r="P284" s="200"/>
      <c r="Q284" s="200">
        <f t="shared" si="81"/>
        <v>166000</v>
      </c>
      <c r="R284" s="201">
        <f>'[1]NOV''25'!Q288+N284-V284</f>
        <v>0</v>
      </c>
      <c r="S284" s="201">
        <f>'[1]NOV''25'!R288+O284-W284</f>
        <v>0</v>
      </c>
      <c r="T284" s="201">
        <f>'[1]NOV''25'!S288+P284-X284</f>
        <v>0</v>
      </c>
      <c r="U284" s="200">
        <f t="shared" si="78"/>
        <v>0</v>
      </c>
      <c r="V284" s="202">
        <v>103750</v>
      </c>
      <c r="W284" s="203">
        <v>62250</v>
      </c>
      <c r="X284" s="203"/>
      <c r="Y284" s="200">
        <f t="shared" si="84"/>
        <v>166000</v>
      </c>
      <c r="Z284" s="207">
        <f t="shared" si="77"/>
        <v>1037500</v>
      </c>
      <c r="AA284" s="96"/>
      <c r="AB284" s="96" t="e">
        <f>#REF!-#REF!</f>
        <v>#REF!</v>
      </c>
    </row>
    <row r="285" spans="2:28" s="55" customFormat="1" x14ac:dyDescent="0.3">
      <c r="B285" s="191">
        <v>148</v>
      </c>
      <c r="C285" s="192"/>
      <c r="D285" s="192"/>
      <c r="E285" s="208">
        <v>45569</v>
      </c>
      <c r="F285" s="192" t="s">
        <v>466</v>
      </c>
      <c r="G285" s="192" t="s">
        <v>239</v>
      </c>
      <c r="H285" s="194">
        <v>3100000</v>
      </c>
      <c r="I285" s="224"/>
      <c r="J285" s="225">
        <f t="shared" si="80"/>
        <v>11.999994838709652</v>
      </c>
      <c r="K285" s="210">
        <v>24</v>
      </c>
      <c r="L285" s="198">
        <f t="shared" si="79"/>
        <v>0.49999978494623548</v>
      </c>
      <c r="M285" s="194">
        <v>1550000.66666667</v>
      </c>
      <c r="N285" s="199">
        <f t="shared" si="82"/>
        <v>129166.66666666667</v>
      </c>
      <c r="O285" s="200">
        <f t="shared" si="83"/>
        <v>77500</v>
      </c>
      <c r="P285" s="200"/>
      <c r="Q285" s="200">
        <f t="shared" si="81"/>
        <v>206666.66666666669</v>
      </c>
      <c r="R285" s="201">
        <f>'[1]NOV''25'!Q289+N285-V285</f>
        <v>258333.33333333366</v>
      </c>
      <c r="S285" s="201">
        <f>'[1]NOV''25'!R289+O285-W285</f>
        <v>155000</v>
      </c>
      <c r="T285" s="201">
        <f>'[1]NOV''25'!S289+P285-X285</f>
        <v>0</v>
      </c>
      <c r="U285" s="200">
        <f t="shared" si="78"/>
        <v>413333.33333333366</v>
      </c>
      <c r="V285" s="202"/>
      <c r="W285" s="203"/>
      <c r="X285" s="203"/>
      <c r="Y285" s="200">
        <f t="shared" si="84"/>
        <v>0</v>
      </c>
      <c r="Z285" s="207">
        <f t="shared" si="77"/>
        <v>1550000.66666667</v>
      </c>
      <c r="AA285" s="96" t="s">
        <v>455</v>
      </c>
      <c r="AB285" s="96" t="e">
        <f>#REF!-#REF!</f>
        <v>#REF!</v>
      </c>
    </row>
    <row r="286" spans="2:28" s="55" customFormat="1" x14ac:dyDescent="0.3">
      <c r="B286" s="191">
        <v>149</v>
      </c>
      <c r="C286" s="192"/>
      <c r="D286" s="192"/>
      <c r="E286" s="208">
        <v>45572</v>
      </c>
      <c r="F286" s="192" t="s">
        <v>467</v>
      </c>
      <c r="G286" s="209" t="s">
        <v>117</v>
      </c>
      <c r="H286" s="194">
        <v>1530000</v>
      </c>
      <c r="I286" s="224"/>
      <c r="J286" s="225">
        <f t="shared" si="80"/>
        <v>14</v>
      </c>
      <c r="K286" s="210">
        <v>24</v>
      </c>
      <c r="L286" s="198">
        <f t="shared" si="79"/>
        <v>0.58333333333333337</v>
      </c>
      <c r="M286" s="194">
        <v>701250</v>
      </c>
      <c r="N286" s="199">
        <f t="shared" si="82"/>
        <v>63750</v>
      </c>
      <c r="O286" s="200">
        <f t="shared" si="83"/>
        <v>38250</v>
      </c>
      <c r="P286" s="200"/>
      <c r="Q286" s="200">
        <f t="shared" si="81"/>
        <v>102000</v>
      </c>
      <c r="R286" s="201">
        <f>'[1]NOV''25'!Q290+N286-V286</f>
        <v>0</v>
      </c>
      <c r="S286" s="201">
        <f>'[1]NOV''25'!R290+O286-W286</f>
        <v>0</v>
      </c>
      <c r="T286" s="201">
        <f>'[1]NOV''25'!S290+P286-X286</f>
        <v>0</v>
      </c>
      <c r="U286" s="200">
        <f t="shared" si="78"/>
        <v>0</v>
      </c>
      <c r="V286" s="202">
        <v>63750</v>
      </c>
      <c r="W286" s="203">
        <v>38250</v>
      </c>
      <c r="X286" s="203"/>
      <c r="Y286" s="200">
        <f t="shared" si="84"/>
        <v>102000</v>
      </c>
      <c r="Z286" s="207">
        <f t="shared" si="77"/>
        <v>637500</v>
      </c>
      <c r="AA286" s="96"/>
      <c r="AB286" s="96" t="e">
        <f>#REF!-#REF!</f>
        <v>#REF!</v>
      </c>
    </row>
    <row r="287" spans="2:28" s="55" customFormat="1" x14ac:dyDescent="0.3">
      <c r="B287" s="191">
        <v>150</v>
      </c>
      <c r="C287" s="192"/>
      <c r="D287" s="192"/>
      <c r="E287" s="208">
        <v>45573</v>
      </c>
      <c r="F287" s="192" t="s">
        <v>468</v>
      </c>
      <c r="G287" s="209" t="s">
        <v>117</v>
      </c>
      <c r="H287" s="194">
        <v>9240000</v>
      </c>
      <c r="I287" s="224"/>
      <c r="J287" s="225">
        <f t="shared" si="80"/>
        <v>14</v>
      </c>
      <c r="K287" s="210">
        <v>24</v>
      </c>
      <c r="L287" s="198">
        <f t="shared" si="79"/>
        <v>0.58333333333333337</v>
      </c>
      <c r="M287" s="194">
        <v>4235000</v>
      </c>
      <c r="N287" s="199">
        <f t="shared" si="82"/>
        <v>385000</v>
      </c>
      <c r="O287" s="200">
        <f t="shared" si="83"/>
        <v>231000</v>
      </c>
      <c r="P287" s="200"/>
      <c r="Q287" s="200">
        <f t="shared" si="81"/>
        <v>616000</v>
      </c>
      <c r="R287" s="201">
        <f>'[1]NOV''25'!Q291+N287-V287</f>
        <v>0</v>
      </c>
      <c r="S287" s="201">
        <f>'[1]NOV''25'!R291+O287-W287</f>
        <v>0</v>
      </c>
      <c r="T287" s="201">
        <f>'[1]NOV''25'!S291+P287-X287</f>
        <v>0</v>
      </c>
      <c r="U287" s="200">
        <f t="shared" si="78"/>
        <v>0</v>
      </c>
      <c r="V287" s="202">
        <v>385000</v>
      </c>
      <c r="W287" s="203">
        <v>231000</v>
      </c>
      <c r="X287" s="203"/>
      <c r="Y287" s="200">
        <f t="shared" si="84"/>
        <v>616000</v>
      </c>
      <c r="Z287" s="207">
        <f t="shared" si="77"/>
        <v>3850000</v>
      </c>
      <c r="AA287" s="96"/>
      <c r="AB287" s="96" t="e">
        <f>#REF!-#REF!</f>
        <v>#REF!</v>
      </c>
    </row>
    <row r="288" spans="2:28" s="55" customFormat="1" x14ac:dyDescent="0.3">
      <c r="B288" s="191">
        <v>151</v>
      </c>
      <c r="C288" s="192"/>
      <c r="D288" s="192"/>
      <c r="E288" s="208">
        <v>45573</v>
      </c>
      <c r="F288" s="192" t="s">
        <v>469</v>
      </c>
      <c r="G288" s="209" t="s">
        <v>117</v>
      </c>
      <c r="H288" s="194">
        <v>8500000</v>
      </c>
      <c r="I288" s="224"/>
      <c r="J288" s="225">
        <f t="shared" si="80"/>
        <v>13.999999058823521</v>
      </c>
      <c r="K288" s="210">
        <v>24</v>
      </c>
      <c r="L288" s="198">
        <f t="shared" si="79"/>
        <v>0.58333329411764667</v>
      </c>
      <c r="M288" s="194">
        <v>3895833.6666666698</v>
      </c>
      <c r="N288" s="199">
        <f t="shared" si="82"/>
        <v>354166.66666666669</v>
      </c>
      <c r="O288" s="200">
        <f t="shared" si="83"/>
        <v>212500</v>
      </c>
      <c r="P288" s="200"/>
      <c r="Q288" s="200">
        <f t="shared" si="81"/>
        <v>566666.66666666674</v>
      </c>
      <c r="R288" s="201">
        <f>'[1]NOV''25'!Q292+N288-V288</f>
        <v>-0.33333333360496908</v>
      </c>
      <c r="S288" s="201">
        <f>'[1]NOV''25'!R292+O288-W288</f>
        <v>0</v>
      </c>
      <c r="T288" s="201">
        <f>'[1]NOV''25'!S292+P288-X288</f>
        <v>0</v>
      </c>
      <c r="U288" s="200">
        <f t="shared" si="78"/>
        <v>-0.33333333360496908</v>
      </c>
      <c r="V288" s="202">
        <v>354166.66666666698</v>
      </c>
      <c r="W288" s="203">
        <v>212500</v>
      </c>
      <c r="X288" s="203"/>
      <c r="Y288" s="200">
        <f t="shared" si="84"/>
        <v>566666.66666666698</v>
      </c>
      <c r="Z288" s="207">
        <f t="shared" si="77"/>
        <v>3541667.0000000028</v>
      </c>
      <c r="AA288" s="96"/>
      <c r="AB288" s="96" t="e">
        <f>#REF!-#REF!</f>
        <v>#REF!</v>
      </c>
    </row>
    <row r="289" spans="2:28" s="54" customFormat="1" x14ac:dyDescent="0.3">
      <c r="B289" s="56">
        <v>153</v>
      </c>
      <c r="C289" s="57"/>
      <c r="D289" s="57"/>
      <c r="E289" s="71">
        <v>45574</v>
      </c>
      <c r="F289" s="57" t="s">
        <v>470</v>
      </c>
      <c r="G289" s="72" t="s">
        <v>117</v>
      </c>
      <c r="H289" s="59">
        <v>5500000</v>
      </c>
      <c r="I289" s="60"/>
      <c r="J289" s="61">
        <f t="shared" si="80"/>
        <v>11.999997090909078</v>
      </c>
      <c r="K289" s="73">
        <v>24</v>
      </c>
      <c r="L289" s="52">
        <f t="shared" si="79"/>
        <v>0.49999987878787827</v>
      </c>
      <c r="M289" s="59">
        <v>2750000.6666666698</v>
      </c>
      <c r="N289" s="63">
        <f t="shared" si="82"/>
        <v>229166.66666666666</v>
      </c>
      <c r="O289" s="64">
        <f t="shared" si="83"/>
        <v>137500</v>
      </c>
      <c r="P289" s="64"/>
      <c r="Q289" s="64">
        <f t="shared" si="81"/>
        <v>366666.66666666663</v>
      </c>
      <c r="R289" s="94">
        <f>'[1]NOV''25'!Q293+N289-V289</f>
        <v>458333.33333333366</v>
      </c>
      <c r="S289" s="94">
        <f>'[1]NOV''25'!R293+O289-W289</f>
        <v>275000</v>
      </c>
      <c r="T289" s="94">
        <f>'[1]NOV''25'!S293+P289-X289</f>
        <v>0</v>
      </c>
      <c r="U289" s="64">
        <f t="shared" si="78"/>
        <v>733333.33333333372</v>
      </c>
      <c r="V289" s="65"/>
      <c r="W289" s="66"/>
      <c r="X289" s="66"/>
      <c r="Y289" s="64">
        <f t="shared" si="84"/>
        <v>0</v>
      </c>
      <c r="Z289" s="67">
        <f t="shared" si="77"/>
        <v>2750000.6666666698</v>
      </c>
      <c r="AA289" s="98"/>
      <c r="AB289" s="96" t="e">
        <f>#REF!-#REF!</f>
        <v>#REF!</v>
      </c>
    </row>
    <row r="290" spans="2:28" s="55" customFormat="1" x14ac:dyDescent="0.3">
      <c r="B290" s="191">
        <v>154</v>
      </c>
      <c r="C290" s="192"/>
      <c r="D290" s="192"/>
      <c r="E290" s="208">
        <v>45574</v>
      </c>
      <c r="F290" s="192" t="s">
        <v>471</v>
      </c>
      <c r="G290" s="209" t="s">
        <v>117</v>
      </c>
      <c r="H290" s="194">
        <v>7100000</v>
      </c>
      <c r="I290" s="224"/>
      <c r="J290" s="225">
        <f t="shared" si="80"/>
        <v>14.000002253521126</v>
      </c>
      <c r="K290" s="210">
        <v>24</v>
      </c>
      <c r="L290" s="198">
        <f t="shared" si="79"/>
        <v>0.58333342723004689</v>
      </c>
      <c r="M290" s="194">
        <v>3254166</v>
      </c>
      <c r="N290" s="199">
        <f t="shared" si="82"/>
        <v>295833.33333333331</v>
      </c>
      <c r="O290" s="200">
        <f t="shared" si="83"/>
        <v>177500</v>
      </c>
      <c r="P290" s="200"/>
      <c r="Q290" s="200">
        <f t="shared" si="81"/>
        <v>473333.33333333331</v>
      </c>
      <c r="R290" s="201">
        <f>'[1]NOV''25'!Q294+N290-V290</f>
        <v>0</v>
      </c>
      <c r="S290" s="201">
        <f>'[1]NOV''25'!R294+O290-W290</f>
        <v>0</v>
      </c>
      <c r="T290" s="201">
        <f>'[1]NOV''25'!S294+P290-X290</f>
        <v>0</v>
      </c>
      <c r="U290" s="200">
        <f t="shared" si="78"/>
        <v>0</v>
      </c>
      <c r="V290" s="202">
        <v>295833.33333333302</v>
      </c>
      <c r="W290" s="203">
        <v>177500</v>
      </c>
      <c r="X290" s="203"/>
      <c r="Y290" s="200">
        <f t="shared" si="84"/>
        <v>473333.33333333302</v>
      </c>
      <c r="Z290" s="207">
        <f t="shared" si="77"/>
        <v>2958332.666666667</v>
      </c>
      <c r="AA290" s="96"/>
      <c r="AB290" s="96" t="e">
        <f>#REF!-#REF!</f>
        <v>#REF!</v>
      </c>
    </row>
    <row r="291" spans="2:28" s="55" customFormat="1" x14ac:dyDescent="0.3">
      <c r="B291" s="191">
        <v>156</v>
      </c>
      <c r="C291" s="192"/>
      <c r="D291" s="192"/>
      <c r="E291" s="208">
        <v>45576</v>
      </c>
      <c r="F291" s="192" t="s">
        <v>472</v>
      </c>
      <c r="G291" s="209" t="s">
        <v>117</v>
      </c>
      <c r="H291" s="194">
        <v>4100000</v>
      </c>
      <c r="I291" s="224"/>
      <c r="J291" s="225">
        <f t="shared" si="80"/>
        <v>14.000003902439023</v>
      </c>
      <c r="K291" s="210">
        <v>24</v>
      </c>
      <c r="L291" s="198">
        <f t="shared" si="79"/>
        <v>0.58333349593495931</v>
      </c>
      <c r="M291" s="194">
        <v>1879166</v>
      </c>
      <c r="N291" s="199">
        <f t="shared" si="82"/>
        <v>170833.33333333334</v>
      </c>
      <c r="O291" s="200">
        <f t="shared" si="83"/>
        <v>102500</v>
      </c>
      <c r="P291" s="200"/>
      <c r="Q291" s="200">
        <f t="shared" si="81"/>
        <v>273333.33333333337</v>
      </c>
      <c r="R291" s="201">
        <f>'[1]NOV''25'!Q296+N291-V291</f>
        <v>3.4924596548080444E-10</v>
      </c>
      <c r="S291" s="201">
        <f>'[1]NOV''25'!R296+O291-W291</f>
        <v>0</v>
      </c>
      <c r="T291" s="201">
        <f>'[1]NOV''25'!S296+P291-X291</f>
        <v>0</v>
      </c>
      <c r="U291" s="200">
        <f t="shared" si="78"/>
        <v>3.4924596548080444E-10</v>
      </c>
      <c r="V291" s="202">
        <v>170833.33333333299</v>
      </c>
      <c r="W291" s="203">
        <v>102500</v>
      </c>
      <c r="X291" s="203"/>
      <c r="Y291" s="200">
        <f t="shared" si="84"/>
        <v>273333.33333333302</v>
      </c>
      <c r="Z291" s="207">
        <f t="shared" si="77"/>
        <v>1708332.666666667</v>
      </c>
      <c r="AA291" s="96"/>
      <c r="AB291" s="96" t="e">
        <f>#REF!-#REF!</f>
        <v>#REF!</v>
      </c>
    </row>
    <row r="292" spans="2:28" s="55" customFormat="1" x14ac:dyDescent="0.3">
      <c r="B292" s="191">
        <v>158</v>
      </c>
      <c r="C292" s="192"/>
      <c r="D292" s="192"/>
      <c r="E292" s="208">
        <v>45580</v>
      </c>
      <c r="F292" s="192" t="s">
        <v>473</v>
      </c>
      <c r="G292" s="209" t="s">
        <v>117</v>
      </c>
      <c r="H292" s="194">
        <v>7830000</v>
      </c>
      <c r="I292" s="224"/>
      <c r="J292" s="225">
        <f t="shared" si="80"/>
        <v>14</v>
      </c>
      <c r="K292" s="210">
        <v>24</v>
      </c>
      <c r="L292" s="198">
        <f t="shared" si="79"/>
        <v>0.58333333333333337</v>
      </c>
      <c r="M292" s="194">
        <v>3588750</v>
      </c>
      <c r="N292" s="199">
        <f t="shared" si="82"/>
        <v>326250</v>
      </c>
      <c r="O292" s="200">
        <f t="shared" si="83"/>
        <v>195750</v>
      </c>
      <c r="P292" s="200"/>
      <c r="Q292" s="200">
        <f t="shared" si="81"/>
        <v>522000</v>
      </c>
      <c r="R292" s="201">
        <f>'[1]NOV''25'!Q297+N292-V292</f>
        <v>0</v>
      </c>
      <c r="S292" s="201">
        <f>'[1]NOV''25'!R297+O292-W292</f>
        <v>0</v>
      </c>
      <c r="T292" s="201">
        <f>'[1]NOV''25'!S297+P292-X292</f>
        <v>0</v>
      </c>
      <c r="U292" s="200">
        <f t="shared" si="78"/>
        <v>0</v>
      </c>
      <c r="V292" s="202">
        <v>326250</v>
      </c>
      <c r="W292" s="203">
        <v>195750</v>
      </c>
      <c r="X292" s="203"/>
      <c r="Y292" s="200">
        <f t="shared" si="84"/>
        <v>522000</v>
      </c>
      <c r="Z292" s="207">
        <f t="shared" si="77"/>
        <v>3262500</v>
      </c>
      <c r="AA292" s="96"/>
      <c r="AB292" s="96" t="e">
        <f>#REF!-#REF!</f>
        <v>#REF!</v>
      </c>
    </row>
    <row r="293" spans="2:28" s="55" customFormat="1" x14ac:dyDescent="0.3">
      <c r="B293" s="191">
        <v>159</v>
      </c>
      <c r="C293" s="192"/>
      <c r="D293" s="192"/>
      <c r="E293" s="208">
        <v>45580</v>
      </c>
      <c r="F293" s="192" t="s">
        <v>474</v>
      </c>
      <c r="G293" s="192" t="s">
        <v>33</v>
      </c>
      <c r="H293" s="194">
        <v>8000000</v>
      </c>
      <c r="I293" s="224"/>
      <c r="J293" s="225">
        <f t="shared" si="80"/>
        <v>14.000002</v>
      </c>
      <c r="K293" s="210">
        <v>24</v>
      </c>
      <c r="L293" s="198">
        <f t="shared" si="79"/>
        <v>0.58333341666666672</v>
      </c>
      <c r="M293" s="194">
        <v>3666666</v>
      </c>
      <c r="N293" s="199">
        <f t="shared" si="82"/>
        <v>333333.33333333331</v>
      </c>
      <c r="O293" s="200">
        <f t="shared" si="83"/>
        <v>200000</v>
      </c>
      <c r="P293" s="200"/>
      <c r="Q293" s="200">
        <f t="shared" si="81"/>
        <v>533333.33333333326</v>
      </c>
      <c r="R293" s="201">
        <f>'[1]NOV''25'!Q298+N293-V293</f>
        <v>0</v>
      </c>
      <c r="S293" s="201">
        <f>'[1]NOV''25'!R298+O293-W293</f>
        <v>0</v>
      </c>
      <c r="T293" s="201">
        <f>'[1]NOV''25'!S298+P293-X293</f>
        <v>0</v>
      </c>
      <c r="U293" s="200">
        <f t="shared" si="78"/>
        <v>0</v>
      </c>
      <c r="V293" s="202">
        <v>333333.33333333302</v>
      </c>
      <c r="W293" s="203">
        <v>200000</v>
      </c>
      <c r="X293" s="203"/>
      <c r="Y293" s="200">
        <f t="shared" si="84"/>
        <v>533333.33333333302</v>
      </c>
      <c r="Z293" s="207">
        <f t="shared" si="77"/>
        <v>3333332.666666667</v>
      </c>
      <c r="AA293" s="96"/>
      <c r="AB293" s="96" t="e">
        <f>#REF!-#REF!</f>
        <v>#REF!</v>
      </c>
    </row>
    <row r="294" spans="2:28" s="55" customFormat="1" x14ac:dyDescent="0.3">
      <c r="B294" s="191">
        <v>160</v>
      </c>
      <c r="C294" s="192"/>
      <c r="D294" s="192"/>
      <c r="E294" s="208">
        <v>45580</v>
      </c>
      <c r="F294" s="192" t="s">
        <v>475</v>
      </c>
      <c r="G294" s="192" t="s">
        <v>239</v>
      </c>
      <c r="H294" s="194">
        <v>13000000</v>
      </c>
      <c r="I294" s="224"/>
      <c r="J294" s="225">
        <f t="shared" si="80"/>
        <v>13.999999385230764</v>
      </c>
      <c r="K294" s="210">
        <v>24</v>
      </c>
      <c r="L294" s="198">
        <f t="shared" si="79"/>
        <v>0.58333330771794845</v>
      </c>
      <c r="M294" s="194">
        <v>6500000.6666666698</v>
      </c>
      <c r="N294" s="199">
        <f t="shared" si="82"/>
        <v>541666.66666666663</v>
      </c>
      <c r="O294" s="200">
        <f t="shared" si="83"/>
        <v>325000</v>
      </c>
      <c r="P294" s="200"/>
      <c r="Q294" s="200">
        <f t="shared" si="81"/>
        <v>866666.66666666663</v>
      </c>
      <c r="R294" s="201">
        <f>'[1]NOV''25'!Q299+N294-V294</f>
        <v>-0.3336666664108634</v>
      </c>
      <c r="S294" s="201">
        <f>'[1]NOV''25'!R299+O294-W294</f>
        <v>0</v>
      </c>
      <c r="T294" s="201">
        <f>'[1]NOV''25'!S299+P294-X294</f>
        <v>0</v>
      </c>
      <c r="U294" s="200">
        <f t="shared" si="78"/>
        <v>-0.3336666664108634</v>
      </c>
      <c r="V294" s="202">
        <f>541666.667+541667</f>
        <v>1083333.6669999999</v>
      </c>
      <c r="W294" s="203">
        <f>325000+325000</f>
        <v>650000</v>
      </c>
      <c r="X294" s="203"/>
      <c r="Y294" s="200">
        <f t="shared" si="84"/>
        <v>1733333.6669999999</v>
      </c>
      <c r="Z294" s="207">
        <f t="shared" si="77"/>
        <v>5416666.9996666703</v>
      </c>
      <c r="AA294" s="96"/>
      <c r="AB294" s="96" t="e">
        <f>#REF!-#REF!</f>
        <v>#REF!</v>
      </c>
    </row>
    <row r="295" spans="2:28" s="55" customFormat="1" x14ac:dyDescent="0.3">
      <c r="B295" s="191">
        <v>162</v>
      </c>
      <c r="C295" s="192"/>
      <c r="D295" s="192"/>
      <c r="E295" s="208">
        <v>45580</v>
      </c>
      <c r="F295" s="192" t="s">
        <v>476</v>
      </c>
      <c r="G295" s="192" t="s">
        <v>477</v>
      </c>
      <c r="H295" s="194">
        <v>8500000</v>
      </c>
      <c r="I295" s="224"/>
      <c r="J295" s="225">
        <f t="shared" si="80"/>
        <v>13.999999058823521</v>
      </c>
      <c r="K295" s="210">
        <v>24</v>
      </c>
      <c r="L295" s="198">
        <f t="shared" si="79"/>
        <v>0.58333329411764667</v>
      </c>
      <c r="M295" s="194">
        <v>3895833.6666666698</v>
      </c>
      <c r="N295" s="199">
        <f t="shared" si="82"/>
        <v>354166.66666666669</v>
      </c>
      <c r="O295" s="200">
        <f t="shared" si="83"/>
        <v>212500</v>
      </c>
      <c r="P295" s="200"/>
      <c r="Q295" s="200">
        <f t="shared" si="81"/>
        <v>566666.66666666674</v>
      </c>
      <c r="R295" s="201">
        <f>'[1]NOV''25'!Q301+N295-V295</f>
        <v>-0.33333333360496908</v>
      </c>
      <c r="S295" s="201">
        <f>'[1]NOV''25'!R301+O295-W295</f>
        <v>0</v>
      </c>
      <c r="T295" s="201">
        <f>'[1]NOV''25'!S301+P295-X295</f>
        <v>0</v>
      </c>
      <c r="U295" s="200">
        <f t="shared" si="78"/>
        <v>-0.33333333360496908</v>
      </c>
      <c r="V295" s="202">
        <v>354166.66666666698</v>
      </c>
      <c r="W295" s="203">
        <v>212500</v>
      </c>
      <c r="X295" s="203"/>
      <c r="Y295" s="200">
        <f t="shared" si="84"/>
        <v>566666.66666666698</v>
      </c>
      <c r="Z295" s="207">
        <f t="shared" si="77"/>
        <v>3541667.0000000028</v>
      </c>
      <c r="AA295" s="96"/>
      <c r="AB295" s="96" t="e">
        <f>#REF!-#REF!</f>
        <v>#REF!</v>
      </c>
    </row>
    <row r="296" spans="2:28" s="55" customFormat="1" x14ac:dyDescent="0.3">
      <c r="B296" s="191">
        <v>163</v>
      </c>
      <c r="C296" s="192"/>
      <c r="D296" s="192"/>
      <c r="E296" s="208">
        <v>45581</v>
      </c>
      <c r="F296" s="192" t="s">
        <v>478</v>
      </c>
      <c r="G296" s="192" t="s">
        <v>84</v>
      </c>
      <c r="H296" s="194">
        <v>7640000</v>
      </c>
      <c r="I296" s="224"/>
      <c r="J296" s="225">
        <f t="shared" si="80"/>
        <v>14.000002094240838</v>
      </c>
      <c r="K296" s="210">
        <v>24</v>
      </c>
      <c r="L296" s="198">
        <f t="shared" si="79"/>
        <v>0.58333342059336823</v>
      </c>
      <c r="M296" s="194">
        <v>3501666</v>
      </c>
      <c r="N296" s="199">
        <f t="shared" si="82"/>
        <v>318333.33333333331</v>
      </c>
      <c r="O296" s="200">
        <f t="shared" si="83"/>
        <v>191000</v>
      </c>
      <c r="P296" s="200"/>
      <c r="Q296" s="200">
        <f t="shared" si="81"/>
        <v>509333.33333333331</v>
      </c>
      <c r="R296" s="201">
        <f>'[1]NOV''25'!Q302+N296-V296</f>
        <v>0</v>
      </c>
      <c r="S296" s="201">
        <f>'[1]NOV''25'!R302+O296-W296</f>
        <v>0</v>
      </c>
      <c r="T296" s="201">
        <f>'[1]NOV''25'!S302+P296-X296</f>
        <v>0</v>
      </c>
      <c r="U296" s="200">
        <f t="shared" si="78"/>
        <v>0</v>
      </c>
      <c r="V296" s="202">
        <v>318333.33333333302</v>
      </c>
      <c r="W296" s="203">
        <v>191000</v>
      </c>
      <c r="X296" s="203"/>
      <c r="Y296" s="200">
        <f t="shared" si="84"/>
        <v>509333.33333333302</v>
      </c>
      <c r="Z296" s="207">
        <f t="shared" si="77"/>
        <v>3183332.666666667</v>
      </c>
      <c r="AA296" s="96"/>
      <c r="AB296" s="96" t="e">
        <f>#REF!-#REF!</f>
        <v>#REF!</v>
      </c>
    </row>
    <row r="297" spans="2:28" s="55" customFormat="1" x14ac:dyDescent="0.3">
      <c r="B297" s="191">
        <v>164</v>
      </c>
      <c r="C297" s="192"/>
      <c r="D297" s="192"/>
      <c r="E297" s="208">
        <v>45581</v>
      </c>
      <c r="F297" s="192" t="s">
        <v>479</v>
      </c>
      <c r="G297" s="192" t="s">
        <v>117</v>
      </c>
      <c r="H297" s="194">
        <v>4000000</v>
      </c>
      <c r="I297" s="224"/>
      <c r="J297" s="225">
        <f t="shared" si="80"/>
        <v>13.999996000000003</v>
      </c>
      <c r="K297" s="210">
        <v>24</v>
      </c>
      <c r="L297" s="198">
        <f t="shared" si="79"/>
        <v>0.58333316666666679</v>
      </c>
      <c r="M297" s="194">
        <v>1833334</v>
      </c>
      <c r="N297" s="199">
        <f t="shared" si="82"/>
        <v>166666.66666666666</v>
      </c>
      <c r="O297" s="200">
        <f t="shared" si="83"/>
        <v>100000</v>
      </c>
      <c r="P297" s="200"/>
      <c r="Q297" s="200">
        <f t="shared" si="81"/>
        <v>266666.66666666663</v>
      </c>
      <c r="R297" s="201">
        <f>'[1]NOV''25'!Q303+N297-V297</f>
        <v>-3.4924596548080444E-10</v>
      </c>
      <c r="S297" s="201">
        <f>'[1]NOV''25'!R303+O297-W297</f>
        <v>0</v>
      </c>
      <c r="T297" s="201">
        <f>'[1]NOV''25'!S303+P297-X297</f>
        <v>0</v>
      </c>
      <c r="U297" s="200">
        <f t="shared" si="78"/>
        <v>-3.4924596548080444E-10</v>
      </c>
      <c r="V297" s="202">
        <v>166666.66666666701</v>
      </c>
      <c r="W297" s="203">
        <v>100000</v>
      </c>
      <c r="X297" s="203"/>
      <c r="Y297" s="200">
        <f t="shared" si="84"/>
        <v>266666.66666666698</v>
      </c>
      <c r="Z297" s="207">
        <f t="shared" si="77"/>
        <v>1666667.333333333</v>
      </c>
      <c r="AA297" s="96"/>
      <c r="AB297" s="96" t="e">
        <f>#REF!-#REF!</f>
        <v>#REF!</v>
      </c>
    </row>
    <row r="298" spans="2:28" s="55" customFormat="1" x14ac:dyDescent="0.3">
      <c r="B298" s="191">
        <v>165</v>
      </c>
      <c r="C298" s="192"/>
      <c r="D298" s="192"/>
      <c r="E298" s="208">
        <v>45582</v>
      </c>
      <c r="F298" s="192" t="s">
        <v>480</v>
      </c>
      <c r="G298" s="209" t="s">
        <v>239</v>
      </c>
      <c r="H298" s="194">
        <v>8400000</v>
      </c>
      <c r="I298" s="224"/>
      <c r="J298" s="225">
        <f t="shared" si="80"/>
        <v>14</v>
      </c>
      <c r="K298" s="210">
        <v>24</v>
      </c>
      <c r="L298" s="198">
        <f t="shared" si="79"/>
        <v>0.58333333333333337</v>
      </c>
      <c r="M298" s="194">
        <v>3850000</v>
      </c>
      <c r="N298" s="199">
        <f t="shared" si="82"/>
        <v>350000</v>
      </c>
      <c r="O298" s="200">
        <f t="shared" si="83"/>
        <v>210000</v>
      </c>
      <c r="P298" s="200"/>
      <c r="Q298" s="200">
        <f t="shared" si="81"/>
        <v>560000</v>
      </c>
      <c r="R298" s="201">
        <f>'[1]NOV''25'!Q304+N298-V298</f>
        <v>0</v>
      </c>
      <c r="S298" s="201">
        <f>'[1]NOV''25'!R304+O298-W298</f>
        <v>0</v>
      </c>
      <c r="T298" s="201">
        <f>'[1]NOV''25'!S304+P298-X298</f>
        <v>0</v>
      </c>
      <c r="U298" s="200">
        <f t="shared" si="78"/>
        <v>0</v>
      </c>
      <c r="V298" s="202">
        <v>350000</v>
      </c>
      <c r="W298" s="203">
        <v>210000</v>
      </c>
      <c r="X298" s="203"/>
      <c r="Y298" s="200">
        <f t="shared" si="84"/>
        <v>560000</v>
      </c>
      <c r="Z298" s="207">
        <f t="shared" si="77"/>
        <v>3500000</v>
      </c>
      <c r="AA298" s="96"/>
      <c r="AB298" s="96" t="e">
        <f>#REF!-#REF!</f>
        <v>#REF!</v>
      </c>
    </row>
    <row r="299" spans="2:28" s="55" customFormat="1" x14ac:dyDescent="0.3">
      <c r="B299" s="191">
        <v>166</v>
      </c>
      <c r="C299" s="192"/>
      <c r="D299" s="192"/>
      <c r="E299" s="208">
        <v>45583</v>
      </c>
      <c r="F299" s="192" t="s">
        <v>481</v>
      </c>
      <c r="G299" s="209" t="s">
        <v>117</v>
      </c>
      <c r="H299" s="194">
        <v>14500000</v>
      </c>
      <c r="I299" s="224"/>
      <c r="J299" s="225">
        <f t="shared" si="80"/>
        <v>13.999998896551727</v>
      </c>
      <c r="K299" s="210">
        <v>24</v>
      </c>
      <c r="L299" s="198">
        <f t="shared" si="79"/>
        <v>0.58333328735632195</v>
      </c>
      <c r="M299" s="194">
        <v>6645834</v>
      </c>
      <c r="N299" s="199">
        <f t="shared" si="82"/>
        <v>604166.66666666663</v>
      </c>
      <c r="O299" s="200">
        <f t="shared" si="83"/>
        <v>362500</v>
      </c>
      <c r="P299" s="200"/>
      <c r="Q299" s="200">
        <f t="shared" si="81"/>
        <v>966666.66666666663</v>
      </c>
      <c r="R299" s="201">
        <f>'[1]NOV''25'!Q305+N299-V299</f>
        <v>0</v>
      </c>
      <c r="S299" s="201">
        <f>'[1]NOV''25'!R305+O299-W299</f>
        <v>0</v>
      </c>
      <c r="T299" s="201">
        <f>'[1]NOV''25'!S305+P299-X299</f>
        <v>0</v>
      </c>
      <c r="U299" s="200">
        <f t="shared" si="78"/>
        <v>0</v>
      </c>
      <c r="V299" s="202">
        <v>604166.66666666698</v>
      </c>
      <c r="W299" s="203">
        <v>362500</v>
      </c>
      <c r="X299" s="203"/>
      <c r="Y299" s="200">
        <f t="shared" si="84"/>
        <v>966666.66666666698</v>
      </c>
      <c r="Z299" s="207">
        <f t="shared" si="77"/>
        <v>6041667.333333333</v>
      </c>
      <c r="AA299" s="96"/>
      <c r="AB299" s="96" t="e">
        <f>#REF!-#REF!</f>
        <v>#REF!</v>
      </c>
    </row>
    <row r="300" spans="2:28" s="55" customFormat="1" x14ac:dyDescent="0.3">
      <c r="B300" s="191">
        <v>167</v>
      </c>
      <c r="C300" s="192"/>
      <c r="D300" s="192"/>
      <c r="E300" s="208">
        <v>45586</v>
      </c>
      <c r="F300" s="192" t="s">
        <v>482</v>
      </c>
      <c r="G300" s="209" t="s">
        <v>282</v>
      </c>
      <c r="H300" s="194">
        <v>5480000</v>
      </c>
      <c r="I300" s="224"/>
      <c r="J300" s="225">
        <f t="shared" si="80"/>
        <v>14.000002919708027</v>
      </c>
      <c r="K300" s="210">
        <v>24</v>
      </c>
      <c r="L300" s="198">
        <f t="shared" si="79"/>
        <v>0.58333345498783451</v>
      </c>
      <c r="M300" s="194">
        <v>2511666</v>
      </c>
      <c r="N300" s="199">
        <f t="shared" si="82"/>
        <v>228333.33333333334</v>
      </c>
      <c r="O300" s="200">
        <f t="shared" si="83"/>
        <v>137000</v>
      </c>
      <c r="P300" s="200"/>
      <c r="Q300" s="200">
        <f t="shared" si="81"/>
        <v>365333.33333333337</v>
      </c>
      <c r="R300" s="201">
        <f>'[1]NOV''25'!Q306+N300-V300</f>
        <v>3.4924596548080444E-10</v>
      </c>
      <c r="S300" s="201">
        <f>'[1]NOV''25'!R306+O300-W300</f>
        <v>0</v>
      </c>
      <c r="T300" s="201">
        <f>'[1]NOV''25'!S306+P300-X300</f>
        <v>0</v>
      </c>
      <c r="U300" s="200">
        <f t="shared" si="78"/>
        <v>3.4924596548080444E-10</v>
      </c>
      <c r="V300" s="202">
        <v>228333.33333333299</v>
      </c>
      <c r="W300" s="203">
        <v>137000</v>
      </c>
      <c r="X300" s="203"/>
      <c r="Y300" s="200">
        <f t="shared" si="84"/>
        <v>365333.33333333302</v>
      </c>
      <c r="Z300" s="207">
        <f t="shared" si="77"/>
        <v>2283332.666666667</v>
      </c>
      <c r="AA300" s="96"/>
      <c r="AB300" s="96" t="e">
        <f>#REF!-#REF!</f>
        <v>#REF!</v>
      </c>
    </row>
    <row r="301" spans="2:28" s="55" customFormat="1" x14ac:dyDescent="0.3">
      <c r="B301" s="191">
        <v>168</v>
      </c>
      <c r="C301" s="192"/>
      <c r="D301" s="192"/>
      <c r="E301" s="208">
        <v>45588</v>
      </c>
      <c r="F301" s="192" t="s">
        <v>483</v>
      </c>
      <c r="G301" s="209" t="s">
        <v>53</v>
      </c>
      <c r="H301" s="194">
        <v>6000000</v>
      </c>
      <c r="I301" s="224"/>
      <c r="J301" s="225">
        <f t="shared" si="80"/>
        <v>14</v>
      </c>
      <c r="K301" s="210">
        <v>24</v>
      </c>
      <c r="L301" s="198">
        <f t="shared" si="79"/>
        <v>0.58333333333333337</v>
      </c>
      <c r="M301" s="194">
        <v>2750000</v>
      </c>
      <c r="N301" s="199">
        <f t="shared" si="82"/>
        <v>250000</v>
      </c>
      <c r="O301" s="200">
        <f t="shared" si="83"/>
        <v>150000</v>
      </c>
      <c r="P301" s="200"/>
      <c r="Q301" s="200">
        <f t="shared" si="81"/>
        <v>400000</v>
      </c>
      <c r="R301" s="201">
        <f>'[1]NOV''25'!Q307+N301-V301</f>
        <v>0</v>
      </c>
      <c r="S301" s="201">
        <f>'[1]NOV''25'!R307+O301-W301</f>
        <v>0</v>
      </c>
      <c r="T301" s="201">
        <f>'[1]NOV''25'!S307+P301-X301</f>
        <v>0</v>
      </c>
      <c r="U301" s="200">
        <f t="shared" si="78"/>
        <v>0</v>
      </c>
      <c r="V301" s="202">
        <v>250000</v>
      </c>
      <c r="W301" s="203">
        <v>150000</v>
      </c>
      <c r="X301" s="203"/>
      <c r="Y301" s="200">
        <f t="shared" si="84"/>
        <v>400000</v>
      </c>
      <c r="Z301" s="207">
        <f t="shared" si="77"/>
        <v>2500000</v>
      </c>
      <c r="AA301" s="96"/>
      <c r="AB301" s="96" t="e">
        <f>#REF!-#REF!</f>
        <v>#REF!</v>
      </c>
    </row>
    <row r="302" spans="2:28" s="55" customFormat="1" x14ac:dyDescent="0.3">
      <c r="B302" s="191">
        <v>169</v>
      </c>
      <c r="C302" s="192"/>
      <c r="D302" s="192"/>
      <c r="E302" s="208">
        <v>45590</v>
      </c>
      <c r="F302" s="192" t="s">
        <v>484</v>
      </c>
      <c r="G302" s="209" t="s">
        <v>239</v>
      </c>
      <c r="H302" s="194">
        <v>9800000</v>
      </c>
      <c r="I302" s="224"/>
      <c r="J302" s="225">
        <f t="shared" si="80"/>
        <v>13.999998367346945</v>
      </c>
      <c r="K302" s="210">
        <v>24</v>
      </c>
      <c r="L302" s="198">
        <f t="shared" si="79"/>
        <v>0.58333326530612273</v>
      </c>
      <c r="M302" s="194">
        <v>4900000.3333333302</v>
      </c>
      <c r="N302" s="199">
        <f t="shared" si="82"/>
        <v>408333.33333333331</v>
      </c>
      <c r="O302" s="200">
        <f t="shared" si="83"/>
        <v>245000</v>
      </c>
      <c r="P302" s="200"/>
      <c r="Q302" s="200">
        <f t="shared" si="81"/>
        <v>653333.33333333326</v>
      </c>
      <c r="R302" s="201">
        <f>'[1]NOV''25'!Q308+N302-V302</f>
        <v>0.33333333325572312</v>
      </c>
      <c r="S302" s="201">
        <f>'[1]NOV''25'!R308+O302-W302</f>
        <v>0</v>
      </c>
      <c r="T302" s="201">
        <f>'[1]NOV''25'!S308+P302-X302</f>
        <v>0</v>
      </c>
      <c r="U302" s="200">
        <f t="shared" si="78"/>
        <v>0.33333333325572312</v>
      </c>
      <c r="V302" s="202">
        <f>408333.333333333+408333</f>
        <v>816666.33333333302</v>
      </c>
      <c r="W302" s="203">
        <f>245000+245000</f>
        <v>490000</v>
      </c>
      <c r="X302" s="203"/>
      <c r="Y302" s="200">
        <f t="shared" si="84"/>
        <v>1306666.333333333</v>
      </c>
      <c r="Z302" s="207">
        <f t="shared" si="77"/>
        <v>4083333.9999999972</v>
      </c>
      <c r="AA302" s="96"/>
      <c r="AB302" s="96" t="e">
        <f>#REF!-#REF!</f>
        <v>#REF!</v>
      </c>
    </row>
    <row r="303" spans="2:28" s="55" customFormat="1" x14ac:dyDescent="0.3">
      <c r="B303" s="191">
        <v>170</v>
      </c>
      <c r="C303" s="192"/>
      <c r="D303" s="192"/>
      <c r="E303" s="208">
        <v>45590</v>
      </c>
      <c r="F303" s="192" t="s">
        <v>485</v>
      </c>
      <c r="G303" s="209" t="s">
        <v>117</v>
      </c>
      <c r="H303" s="194">
        <v>2480000</v>
      </c>
      <c r="I303" s="224"/>
      <c r="J303" s="225">
        <f t="shared" si="80"/>
        <v>13.999993548387126</v>
      </c>
      <c r="K303" s="210">
        <v>24</v>
      </c>
      <c r="L303" s="198">
        <f t="shared" si="79"/>
        <v>0.58333306451613021</v>
      </c>
      <c r="M303" s="194">
        <v>1136667.33333333</v>
      </c>
      <c r="N303" s="199">
        <f t="shared" si="82"/>
        <v>103333.33333333333</v>
      </c>
      <c r="O303" s="200">
        <f t="shared" si="83"/>
        <v>62000</v>
      </c>
      <c r="P303" s="200"/>
      <c r="Q303" s="200">
        <f t="shared" si="81"/>
        <v>165333.33333333331</v>
      </c>
      <c r="R303" s="201">
        <f>'[1]NOV''25'!Q309+N303-V303</f>
        <v>0.33333333366317675</v>
      </c>
      <c r="S303" s="201">
        <f>'[1]NOV''25'!R309+O303-W303</f>
        <v>0</v>
      </c>
      <c r="T303" s="201">
        <f>'[1]NOV''25'!S309+P303-X303</f>
        <v>0</v>
      </c>
      <c r="U303" s="200">
        <f t="shared" si="78"/>
        <v>0.33333333366317675</v>
      </c>
      <c r="V303" s="202">
        <v>103333.33333333299</v>
      </c>
      <c r="W303" s="203">
        <v>62000</v>
      </c>
      <c r="X303" s="203"/>
      <c r="Y303" s="200">
        <f t="shared" si="84"/>
        <v>165333.33333333299</v>
      </c>
      <c r="Z303" s="207">
        <f t="shared" ref="Z303:Z343" si="85">SUM(M303-V303)</f>
        <v>1033333.999999997</v>
      </c>
      <c r="AA303" s="96"/>
      <c r="AB303" s="96" t="e">
        <f>#REF!-#REF!</f>
        <v>#REF!</v>
      </c>
    </row>
    <row r="304" spans="2:28" s="55" customFormat="1" x14ac:dyDescent="0.3">
      <c r="B304" s="191">
        <v>171</v>
      </c>
      <c r="C304" s="192"/>
      <c r="D304" s="192"/>
      <c r="E304" s="208">
        <v>45590</v>
      </c>
      <c r="F304" s="192" t="s">
        <v>486</v>
      </c>
      <c r="G304" s="209" t="s">
        <v>239</v>
      </c>
      <c r="H304" s="194">
        <v>13950000</v>
      </c>
      <c r="I304" s="224"/>
      <c r="J304" s="225">
        <f t="shared" si="80"/>
        <v>14</v>
      </c>
      <c r="K304" s="210">
        <v>24</v>
      </c>
      <c r="L304" s="198">
        <f t="shared" si="79"/>
        <v>0.58333333333333337</v>
      </c>
      <c r="M304" s="194">
        <v>6975000</v>
      </c>
      <c r="N304" s="199">
        <f t="shared" si="82"/>
        <v>581250</v>
      </c>
      <c r="O304" s="200">
        <f t="shared" si="83"/>
        <v>348750</v>
      </c>
      <c r="P304" s="200"/>
      <c r="Q304" s="200">
        <f t="shared" si="81"/>
        <v>930000</v>
      </c>
      <c r="R304" s="201">
        <f>'[1]NOV''25'!Q310+N304-V304</f>
        <v>0</v>
      </c>
      <c r="S304" s="201">
        <f>'[1]NOV''25'!R310+O304-W304</f>
        <v>0</v>
      </c>
      <c r="T304" s="201">
        <f>'[1]NOV''25'!S310+P304-X304</f>
        <v>0</v>
      </c>
      <c r="U304" s="200">
        <f t="shared" si="78"/>
        <v>0</v>
      </c>
      <c r="V304" s="202">
        <f>581250+581250</f>
        <v>1162500</v>
      </c>
      <c r="W304" s="203">
        <f>348750+307554</f>
        <v>656304</v>
      </c>
      <c r="X304" s="203"/>
      <c r="Y304" s="200">
        <f t="shared" si="84"/>
        <v>1818804</v>
      </c>
      <c r="Z304" s="207">
        <f t="shared" si="85"/>
        <v>5812500</v>
      </c>
      <c r="AA304" s="96"/>
      <c r="AB304" s="96" t="e">
        <f>#REF!-#REF!</f>
        <v>#REF!</v>
      </c>
    </row>
    <row r="305" spans="2:28" s="55" customFormat="1" x14ac:dyDescent="0.3">
      <c r="B305" s="191">
        <v>172</v>
      </c>
      <c r="C305" s="192"/>
      <c r="D305" s="192"/>
      <c r="E305" s="208">
        <v>45600</v>
      </c>
      <c r="F305" s="192" t="s">
        <v>487</v>
      </c>
      <c r="G305" s="209" t="s">
        <v>117</v>
      </c>
      <c r="H305" s="194">
        <v>4200000</v>
      </c>
      <c r="I305" s="224"/>
      <c r="J305" s="225">
        <f t="shared" si="80"/>
        <v>13</v>
      </c>
      <c r="K305" s="210">
        <v>24</v>
      </c>
      <c r="L305" s="198">
        <f t="shared" si="79"/>
        <v>0.54166666666666663</v>
      </c>
      <c r="M305" s="194">
        <v>2100000</v>
      </c>
      <c r="N305" s="199">
        <f t="shared" si="82"/>
        <v>175000</v>
      </c>
      <c r="O305" s="200">
        <f t="shared" si="83"/>
        <v>105000</v>
      </c>
      <c r="P305" s="200"/>
      <c r="Q305" s="200">
        <f t="shared" si="81"/>
        <v>280000</v>
      </c>
      <c r="R305" s="201">
        <f>'[1]NOV''25'!Q311+N305-V305</f>
        <v>0</v>
      </c>
      <c r="S305" s="201">
        <f>'[1]NOV''25'!R311+O305-W305</f>
        <v>0</v>
      </c>
      <c r="T305" s="201">
        <f>'[1]NOV''25'!S311+P305-X305</f>
        <v>0</v>
      </c>
      <c r="U305" s="200">
        <f t="shared" si="78"/>
        <v>0</v>
      </c>
      <c r="V305" s="202">
        <v>175000</v>
      </c>
      <c r="W305" s="203">
        <v>105000</v>
      </c>
      <c r="X305" s="203"/>
      <c r="Y305" s="200">
        <f t="shared" si="84"/>
        <v>280000</v>
      </c>
      <c r="Z305" s="207">
        <f t="shared" si="85"/>
        <v>1925000</v>
      </c>
      <c r="AA305" s="96"/>
      <c r="AB305" s="96" t="e">
        <f>#REF!-#REF!</f>
        <v>#REF!</v>
      </c>
    </row>
    <row r="306" spans="2:28" s="55" customFormat="1" x14ac:dyDescent="0.3">
      <c r="B306" s="191">
        <v>174</v>
      </c>
      <c r="C306" s="192"/>
      <c r="D306" s="192"/>
      <c r="E306" s="208">
        <v>45600</v>
      </c>
      <c r="F306" s="192" t="s">
        <v>488</v>
      </c>
      <c r="G306" s="209" t="s">
        <v>117</v>
      </c>
      <c r="H306" s="194">
        <v>4610000</v>
      </c>
      <c r="I306" s="224"/>
      <c r="J306" s="225">
        <f t="shared" si="80"/>
        <v>12.999999999999998</v>
      </c>
      <c r="K306" s="210">
        <v>24</v>
      </c>
      <c r="L306" s="198">
        <f t="shared" si="79"/>
        <v>0.54166666666666663</v>
      </c>
      <c r="M306" s="194">
        <v>2305000</v>
      </c>
      <c r="N306" s="199">
        <f t="shared" si="82"/>
        <v>192083.33333333334</v>
      </c>
      <c r="O306" s="200">
        <f t="shared" si="83"/>
        <v>115250</v>
      </c>
      <c r="P306" s="200"/>
      <c r="Q306" s="200">
        <f t="shared" si="81"/>
        <v>307333.33333333337</v>
      </c>
      <c r="R306" s="201">
        <f>'[1]NOV''25'!Q312+N306-V306</f>
        <v>3.4924596548080444E-10</v>
      </c>
      <c r="S306" s="201">
        <f>'[1]NOV''25'!R312+O306-W306</f>
        <v>0</v>
      </c>
      <c r="T306" s="201">
        <f>'[1]NOV''25'!S312+P306-X306</f>
        <v>0</v>
      </c>
      <c r="U306" s="200">
        <f t="shared" si="78"/>
        <v>3.4924596548080444E-10</v>
      </c>
      <c r="V306" s="202">
        <v>192083.33333333299</v>
      </c>
      <c r="W306" s="203">
        <v>115250</v>
      </c>
      <c r="X306" s="203"/>
      <c r="Y306" s="200">
        <f t="shared" si="84"/>
        <v>307333.33333333302</v>
      </c>
      <c r="Z306" s="207">
        <f t="shared" si="85"/>
        <v>2112916.666666667</v>
      </c>
      <c r="AA306" s="96"/>
      <c r="AB306" s="96" t="e">
        <f>#REF!-#REF!</f>
        <v>#REF!</v>
      </c>
    </row>
    <row r="307" spans="2:28" s="55" customFormat="1" x14ac:dyDescent="0.3">
      <c r="B307" s="191">
        <v>175</v>
      </c>
      <c r="C307" s="192"/>
      <c r="D307" s="192"/>
      <c r="E307" s="208">
        <v>45600</v>
      </c>
      <c r="F307" s="192" t="s">
        <v>489</v>
      </c>
      <c r="G307" s="209" t="s">
        <v>117</v>
      </c>
      <c r="H307" s="194">
        <v>4800000</v>
      </c>
      <c r="I307" s="224"/>
      <c r="J307" s="225">
        <f t="shared" si="80"/>
        <v>13</v>
      </c>
      <c r="K307" s="210">
        <v>24</v>
      </c>
      <c r="L307" s="198">
        <f t="shared" si="79"/>
        <v>0.54166666666666663</v>
      </c>
      <c r="M307" s="194">
        <v>2400000</v>
      </c>
      <c r="N307" s="199">
        <f t="shared" si="82"/>
        <v>200000</v>
      </c>
      <c r="O307" s="200">
        <f t="shared" si="83"/>
        <v>120000</v>
      </c>
      <c r="P307" s="200"/>
      <c r="Q307" s="200">
        <f t="shared" si="81"/>
        <v>320000</v>
      </c>
      <c r="R307" s="201">
        <f>'[1]NOV''25'!Q313+N307-V307</f>
        <v>0</v>
      </c>
      <c r="S307" s="201">
        <f>'[1]NOV''25'!R313+O307-W307</f>
        <v>0</v>
      </c>
      <c r="T307" s="201">
        <f>'[1]NOV''25'!S313+P307-X307</f>
        <v>0</v>
      </c>
      <c r="U307" s="200">
        <f t="shared" si="78"/>
        <v>0</v>
      </c>
      <c r="V307" s="202">
        <v>200000</v>
      </c>
      <c r="W307" s="203">
        <v>120000</v>
      </c>
      <c r="X307" s="203"/>
      <c r="Y307" s="200">
        <f t="shared" si="84"/>
        <v>320000</v>
      </c>
      <c r="Z307" s="207">
        <f t="shared" si="85"/>
        <v>2200000</v>
      </c>
      <c r="AA307" s="96"/>
      <c r="AB307" s="96" t="e">
        <f>#REF!-#REF!</f>
        <v>#REF!</v>
      </c>
    </row>
    <row r="308" spans="2:28" s="55" customFormat="1" x14ac:dyDescent="0.3">
      <c r="B308" s="191">
        <v>176</v>
      </c>
      <c r="C308" s="192"/>
      <c r="D308" s="192"/>
      <c r="E308" s="208">
        <v>45601</v>
      </c>
      <c r="F308" s="192" t="s">
        <v>490</v>
      </c>
      <c r="G308" s="209" t="s">
        <v>117</v>
      </c>
      <c r="H308" s="194">
        <v>2450000</v>
      </c>
      <c r="I308" s="224"/>
      <c r="J308" s="225">
        <f t="shared" si="80"/>
        <v>12.999996734693909</v>
      </c>
      <c r="K308" s="210">
        <v>24</v>
      </c>
      <c r="L308" s="198">
        <f t="shared" si="79"/>
        <v>0.54166653061224623</v>
      </c>
      <c r="M308" s="194">
        <v>1225000.33333333</v>
      </c>
      <c r="N308" s="199">
        <f t="shared" si="82"/>
        <v>102083.33333333333</v>
      </c>
      <c r="O308" s="200">
        <f t="shared" si="83"/>
        <v>61250</v>
      </c>
      <c r="P308" s="200"/>
      <c r="Q308" s="200">
        <f t="shared" si="81"/>
        <v>163333.33333333331</v>
      </c>
      <c r="R308" s="201">
        <f>'[1]NOV''25'!Q314+N308-V308</f>
        <v>0.33333333366317675</v>
      </c>
      <c r="S308" s="201">
        <f>'[1]NOV''25'!R314+O308-W308</f>
        <v>0</v>
      </c>
      <c r="T308" s="201">
        <f>'[1]NOV''25'!S314+P308-X308</f>
        <v>0</v>
      </c>
      <c r="U308" s="200">
        <f t="shared" si="78"/>
        <v>0.33333333366317675</v>
      </c>
      <c r="V308" s="202">
        <v>102083.33333333299</v>
      </c>
      <c r="W308" s="203">
        <v>61250</v>
      </c>
      <c r="X308" s="203"/>
      <c r="Y308" s="200">
        <f t="shared" si="84"/>
        <v>163333.33333333299</v>
      </c>
      <c r="Z308" s="207">
        <f t="shared" si="85"/>
        <v>1122916.999999997</v>
      </c>
      <c r="AA308" s="96"/>
      <c r="AB308" s="96" t="e">
        <f>#REF!-#REF!</f>
        <v>#REF!</v>
      </c>
    </row>
    <row r="309" spans="2:28" s="55" customFormat="1" x14ac:dyDescent="0.3">
      <c r="B309" s="191">
        <v>177</v>
      </c>
      <c r="C309" s="192"/>
      <c r="D309" s="192"/>
      <c r="E309" s="208">
        <v>45601</v>
      </c>
      <c r="F309" s="192" t="s">
        <v>491</v>
      </c>
      <c r="G309" s="209" t="s">
        <v>30</v>
      </c>
      <c r="H309" s="194">
        <v>5400000</v>
      </c>
      <c r="I309" s="224"/>
      <c r="J309" s="225">
        <f t="shared" si="80"/>
        <v>13</v>
      </c>
      <c r="K309" s="210">
        <v>24</v>
      </c>
      <c r="L309" s="198">
        <f t="shared" si="79"/>
        <v>0.54166666666666663</v>
      </c>
      <c r="M309" s="194">
        <v>2700000</v>
      </c>
      <c r="N309" s="199">
        <f t="shared" si="82"/>
        <v>225000</v>
      </c>
      <c r="O309" s="200">
        <f t="shared" si="83"/>
        <v>135000</v>
      </c>
      <c r="P309" s="200"/>
      <c r="Q309" s="200">
        <f t="shared" si="81"/>
        <v>360000</v>
      </c>
      <c r="R309" s="201">
        <f>'[1]NOV''25'!Q315+N309-V309</f>
        <v>0</v>
      </c>
      <c r="S309" s="201">
        <f>'[1]NOV''25'!R315+O309-W309</f>
        <v>0</v>
      </c>
      <c r="T309" s="201">
        <f>'[1]NOV''25'!S315+P309-X309</f>
        <v>0</v>
      </c>
      <c r="U309" s="200">
        <f t="shared" si="78"/>
        <v>0</v>
      </c>
      <c r="V309" s="202">
        <v>225000</v>
      </c>
      <c r="W309" s="203">
        <v>135000</v>
      </c>
      <c r="X309" s="203"/>
      <c r="Y309" s="200">
        <f t="shared" si="84"/>
        <v>360000</v>
      </c>
      <c r="Z309" s="207">
        <f t="shared" si="85"/>
        <v>2475000</v>
      </c>
      <c r="AA309" s="96"/>
      <c r="AB309" s="96" t="e">
        <f>#REF!-#REF!</f>
        <v>#REF!</v>
      </c>
    </row>
    <row r="310" spans="2:28" s="55" customFormat="1" x14ac:dyDescent="0.3">
      <c r="B310" s="191">
        <v>179</v>
      </c>
      <c r="C310" s="192"/>
      <c r="D310" s="192"/>
      <c r="E310" s="208">
        <v>45602</v>
      </c>
      <c r="F310" s="192" t="s">
        <v>492</v>
      </c>
      <c r="G310" s="209" t="s">
        <v>117</v>
      </c>
      <c r="H310" s="194">
        <v>2450000</v>
      </c>
      <c r="I310" s="224"/>
      <c r="J310" s="225">
        <f t="shared" si="80"/>
        <v>12.999996734693909</v>
      </c>
      <c r="K310" s="210">
        <v>24</v>
      </c>
      <c r="L310" s="198">
        <f t="shared" si="79"/>
        <v>0.54166653061224623</v>
      </c>
      <c r="M310" s="194">
        <v>1225000.33333333</v>
      </c>
      <c r="N310" s="199">
        <f t="shared" si="82"/>
        <v>102083.33333333333</v>
      </c>
      <c r="O310" s="200">
        <f t="shared" si="83"/>
        <v>61250</v>
      </c>
      <c r="P310" s="200"/>
      <c r="Q310" s="200">
        <f t="shared" si="81"/>
        <v>163333.33333333331</v>
      </c>
      <c r="R310" s="201">
        <f>'[1]NOV''25'!Q316+N310-V310</f>
        <v>0.33333333366317675</v>
      </c>
      <c r="S310" s="201">
        <f>'[1]NOV''25'!R316+O310-W310</f>
        <v>0</v>
      </c>
      <c r="T310" s="201">
        <f>'[1]NOV''25'!S316+P310-X310</f>
        <v>0</v>
      </c>
      <c r="U310" s="200">
        <f t="shared" si="78"/>
        <v>0.33333333366317675</v>
      </c>
      <c r="V310" s="202">
        <v>102083.33333333299</v>
      </c>
      <c r="W310" s="203">
        <v>61250</v>
      </c>
      <c r="X310" s="203"/>
      <c r="Y310" s="200">
        <f t="shared" si="84"/>
        <v>163333.33333333299</v>
      </c>
      <c r="Z310" s="207">
        <f t="shared" si="85"/>
        <v>1122916.999999997</v>
      </c>
      <c r="AA310" s="96"/>
      <c r="AB310" s="96" t="e">
        <f>#REF!-#REF!</f>
        <v>#REF!</v>
      </c>
    </row>
    <row r="311" spans="2:28" s="55" customFormat="1" x14ac:dyDescent="0.3">
      <c r="B311" s="191">
        <v>180</v>
      </c>
      <c r="C311" s="192"/>
      <c r="D311" s="192"/>
      <c r="E311" s="208">
        <v>45602</v>
      </c>
      <c r="F311" s="192" t="s">
        <v>493</v>
      </c>
      <c r="G311" s="209" t="s">
        <v>239</v>
      </c>
      <c r="H311" s="194">
        <v>9340000</v>
      </c>
      <c r="I311" s="224"/>
      <c r="J311" s="225">
        <f t="shared" si="80"/>
        <v>13.000000856531042</v>
      </c>
      <c r="K311" s="210">
        <v>24</v>
      </c>
      <c r="L311" s="198">
        <f t="shared" si="79"/>
        <v>0.54166670235546011</v>
      </c>
      <c r="M311" s="194">
        <v>4669999.6666666698</v>
      </c>
      <c r="N311" s="199">
        <f t="shared" si="82"/>
        <v>389166.66666666669</v>
      </c>
      <c r="O311" s="200">
        <f t="shared" si="83"/>
        <v>233500</v>
      </c>
      <c r="P311" s="200"/>
      <c r="Q311" s="200">
        <f t="shared" si="81"/>
        <v>622666.66666666674</v>
      </c>
      <c r="R311" s="201">
        <f>'[1]NOV''25'!Q317+N311-V311</f>
        <v>-0.33333333360496908</v>
      </c>
      <c r="S311" s="201">
        <f>'[1]NOV''25'!R317+O311-W311</f>
        <v>0</v>
      </c>
      <c r="T311" s="201">
        <f>'[1]NOV''25'!S317+P311-X311</f>
        <v>0</v>
      </c>
      <c r="U311" s="200">
        <f t="shared" si="78"/>
        <v>-0.33333333360496908</v>
      </c>
      <c r="V311" s="202">
        <v>389166.66666666698</v>
      </c>
      <c r="W311" s="203">
        <v>233500</v>
      </c>
      <c r="X311" s="203"/>
      <c r="Y311" s="200">
        <f t="shared" si="84"/>
        <v>622666.66666666698</v>
      </c>
      <c r="Z311" s="207">
        <f t="shared" si="85"/>
        <v>4280833.0000000028</v>
      </c>
      <c r="AA311" s="96"/>
      <c r="AB311" s="96" t="e">
        <f>#REF!-#REF!</f>
        <v>#REF!</v>
      </c>
    </row>
    <row r="312" spans="2:28" s="55" customFormat="1" x14ac:dyDescent="0.3">
      <c r="B312" s="191">
        <v>181</v>
      </c>
      <c r="C312" s="192"/>
      <c r="D312" s="192"/>
      <c r="E312" s="208">
        <v>45602</v>
      </c>
      <c r="F312" s="192" t="s">
        <v>494</v>
      </c>
      <c r="G312" s="209" t="s">
        <v>100</v>
      </c>
      <c r="H312" s="194">
        <v>7940000</v>
      </c>
      <c r="I312" s="224"/>
      <c r="J312" s="225">
        <f t="shared" si="80"/>
        <v>13</v>
      </c>
      <c r="K312" s="210">
        <v>24</v>
      </c>
      <c r="L312" s="198">
        <f t="shared" si="79"/>
        <v>0.54166666666666663</v>
      </c>
      <c r="M312" s="194">
        <v>3970000</v>
      </c>
      <c r="N312" s="199">
        <f t="shared" si="82"/>
        <v>330833.33333333331</v>
      </c>
      <c r="O312" s="200">
        <f t="shared" si="83"/>
        <v>198500</v>
      </c>
      <c r="P312" s="200"/>
      <c r="Q312" s="200">
        <f t="shared" si="81"/>
        <v>529333.33333333326</v>
      </c>
      <c r="R312" s="201">
        <f>'[1]NOV''25'!Q318+N312-V312</f>
        <v>0</v>
      </c>
      <c r="S312" s="201">
        <f>'[1]NOV''25'!R318+O312-W312</f>
        <v>0</v>
      </c>
      <c r="T312" s="201">
        <f>'[1]NOV''25'!S318+P312-X312</f>
        <v>0</v>
      </c>
      <c r="U312" s="200">
        <f t="shared" si="78"/>
        <v>0</v>
      </c>
      <c r="V312" s="202">
        <v>330833.33333333302</v>
      </c>
      <c r="W312" s="203">
        <v>198500</v>
      </c>
      <c r="X312" s="203"/>
      <c r="Y312" s="200">
        <f t="shared" si="84"/>
        <v>529333.33333333302</v>
      </c>
      <c r="Z312" s="207">
        <f t="shared" si="85"/>
        <v>3639166.666666667</v>
      </c>
      <c r="AA312" s="96"/>
      <c r="AB312" s="96" t="e">
        <f>#REF!-#REF!</f>
        <v>#REF!</v>
      </c>
    </row>
    <row r="313" spans="2:28" s="55" customFormat="1" x14ac:dyDescent="0.3">
      <c r="B313" s="191">
        <v>182</v>
      </c>
      <c r="C313" s="192"/>
      <c r="D313" s="192"/>
      <c r="E313" s="208">
        <v>45603</v>
      </c>
      <c r="F313" s="192" t="s">
        <v>495</v>
      </c>
      <c r="G313" s="209" t="s">
        <v>117</v>
      </c>
      <c r="H313" s="194">
        <v>3330000</v>
      </c>
      <c r="I313" s="224"/>
      <c r="J313" s="225">
        <f t="shared" si="80"/>
        <v>13</v>
      </c>
      <c r="K313" s="210">
        <v>24</v>
      </c>
      <c r="L313" s="198">
        <f t="shared" si="79"/>
        <v>0.54166666666666663</v>
      </c>
      <c r="M313" s="194">
        <v>1665000</v>
      </c>
      <c r="N313" s="199">
        <f t="shared" si="82"/>
        <v>138750</v>
      </c>
      <c r="O313" s="200">
        <f t="shared" si="83"/>
        <v>83250</v>
      </c>
      <c r="P313" s="200"/>
      <c r="Q313" s="200">
        <f t="shared" si="81"/>
        <v>222000</v>
      </c>
      <c r="R313" s="201">
        <f>'[1]NOV''25'!Q319+N313-V313</f>
        <v>0</v>
      </c>
      <c r="S313" s="201">
        <f>'[1]NOV''25'!R319+O313-W313</f>
        <v>0</v>
      </c>
      <c r="T313" s="201">
        <f>'[1]NOV''25'!S319+P313-X313</f>
        <v>0</v>
      </c>
      <c r="U313" s="200">
        <f t="shared" si="78"/>
        <v>0</v>
      </c>
      <c r="V313" s="202">
        <v>138750</v>
      </c>
      <c r="W313" s="203">
        <v>83250</v>
      </c>
      <c r="X313" s="203"/>
      <c r="Y313" s="200">
        <f t="shared" si="84"/>
        <v>222000</v>
      </c>
      <c r="Z313" s="207">
        <f t="shared" si="85"/>
        <v>1526250</v>
      </c>
      <c r="AA313" s="96"/>
      <c r="AB313" s="96" t="e">
        <f>#REF!-#REF!</f>
        <v>#REF!</v>
      </c>
    </row>
    <row r="314" spans="2:28" s="55" customFormat="1" x14ac:dyDescent="0.3">
      <c r="B314" s="191">
        <v>183</v>
      </c>
      <c r="C314" s="192"/>
      <c r="D314" s="192"/>
      <c r="E314" s="208">
        <v>45603</v>
      </c>
      <c r="F314" s="192" t="s">
        <v>496</v>
      </c>
      <c r="G314" s="209" t="s">
        <v>33</v>
      </c>
      <c r="H314" s="194">
        <v>3270000</v>
      </c>
      <c r="I314" s="224"/>
      <c r="J314" s="225">
        <f t="shared" si="80"/>
        <v>13</v>
      </c>
      <c r="K314" s="210">
        <v>24</v>
      </c>
      <c r="L314" s="198">
        <f t="shared" si="79"/>
        <v>0.54166666666666663</v>
      </c>
      <c r="M314" s="194">
        <v>1635000</v>
      </c>
      <c r="N314" s="199">
        <f t="shared" si="82"/>
        <v>136250</v>
      </c>
      <c r="O314" s="200">
        <f t="shared" si="83"/>
        <v>81750</v>
      </c>
      <c r="P314" s="200"/>
      <c r="Q314" s="200">
        <f t="shared" si="81"/>
        <v>218000</v>
      </c>
      <c r="R314" s="201">
        <f>'[1]NOV''25'!Q320+N314-V314</f>
        <v>0</v>
      </c>
      <c r="S314" s="201">
        <f>'[1]NOV''25'!R320+O314-W314</f>
        <v>0</v>
      </c>
      <c r="T314" s="201">
        <f>'[1]NOV''25'!S320+P314-X314</f>
        <v>0</v>
      </c>
      <c r="U314" s="200">
        <f t="shared" si="78"/>
        <v>0</v>
      </c>
      <c r="V314" s="202">
        <v>136250</v>
      </c>
      <c r="W314" s="203">
        <v>81750</v>
      </c>
      <c r="X314" s="203"/>
      <c r="Y314" s="200">
        <f t="shared" si="84"/>
        <v>218000</v>
      </c>
      <c r="Z314" s="207">
        <f t="shared" si="85"/>
        <v>1498750</v>
      </c>
      <c r="AA314" s="96"/>
      <c r="AB314" s="96" t="e">
        <f>#REF!-#REF!</f>
        <v>#REF!</v>
      </c>
    </row>
    <row r="315" spans="2:28" s="55" customFormat="1" x14ac:dyDescent="0.3">
      <c r="B315" s="191">
        <v>184</v>
      </c>
      <c r="C315" s="192"/>
      <c r="D315" s="192"/>
      <c r="E315" s="208">
        <v>45603</v>
      </c>
      <c r="F315" s="192" t="s">
        <v>497</v>
      </c>
      <c r="G315" s="209" t="s">
        <v>117</v>
      </c>
      <c r="H315" s="194">
        <v>2210000</v>
      </c>
      <c r="I315" s="224"/>
      <c r="J315" s="225">
        <f t="shared" si="80"/>
        <v>13</v>
      </c>
      <c r="K315" s="210">
        <v>24</v>
      </c>
      <c r="L315" s="198">
        <f t="shared" si="79"/>
        <v>0.54166666666666663</v>
      </c>
      <c r="M315" s="194">
        <v>1105000</v>
      </c>
      <c r="N315" s="199">
        <f t="shared" si="82"/>
        <v>92083.333333333328</v>
      </c>
      <c r="O315" s="200">
        <f t="shared" si="83"/>
        <v>55250</v>
      </c>
      <c r="P315" s="200"/>
      <c r="Q315" s="200">
        <f t="shared" si="81"/>
        <v>147333.33333333331</v>
      </c>
      <c r="R315" s="201">
        <f>'[1]NOV''25'!Q321+N315-V315</f>
        <v>0</v>
      </c>
      <c r="S315" s="201">
        <f>'[1]NOV''25'!R321+O315-W315</f>
        <v>0</v>
      </c>
      <c r="T315" s="201">
        <f>'[1]NOV''25'!S321+P315-X315</f>
        <v>0</v>
      </c>
      <c r="U315" s="200">
        <f t="shared" si="78"/>
        <v>0</v>
      </c>
      <c r="V315" s="202">
        <v>92083.333333333299</v>
      </c>
      <c r="W315" s="203">
        <v>55250</v>
      </c>
      <c r="X315" s="203"/>
      <c r="Y315" s="200">
        <f t="shared" si="84"/>
        <v>147333.33333333331</v>
      </c>
      <c r="Z315" s="207">
        <f t="shared" si="85"/>
        <v>1012916.6666666667</v>
      </c>
      <c r="AA315" s="96"/>
      <c r="AB315" s="96" t="e">
        <f>#REF!-#REF!</f>
        <v>#REF!</v>
      </c>
    </row>
    <row r="316" spans="2:28" s="55" customFormat="1" x14ac:dyDescent="0.3">
      <c r="B316" s="191">
        <v>185</v>
      </c>
      <c r="C316" s="192"/>
      <c r="D316" s="192"/>
      <c r="E316" s="208">
        <v>45604</v>
      </c>
      <c r="F316" s="192" t="s">
        <v>498</v>
      </c>
      <c r="G316" s="209" t="s">
        <v>48</v>
      </c>
      <c r="H316" s="194">
        <v>8500000</v>
      </c>
      <c r="I316" s="224"/>
      <c r="J316" s="225">
        <f t="shared" si="80"/>
        <v>13</v>
      </c>
      <c r="K316" s="210">
        <v>24</v>
      </c>
      <c r="L316" s="198">
        <f t="shared" si="79"/>
        <v>0.54166666666666663</v>
      </c>
      <c r="M316" s="194">
        <v>4250000</v>
      </c>
      <c r="N316" s="199">
        <f t="shared" si="82"/>
        <v>354166.66666666669</v>
      </c>
      <c r="O316" s="200">
        <f t="shared" si="83"/>
        <v>212500</v>
      </c>
      <c r="P316" s="200"/>
      <c r="Q316" s="200">
        <f t="shared" si="81"/>
        <v>566666.66666666674</v>
      </c>
      <c r="R316" s="201">
        <f>'[1]NOV''25'!Q322+N316-V316</f>
        <v>0</v>
      </c>
      <c r="S316" s="201">
        <f>'[1]NOV''25'!R322+O316-W316</f>
        <v>0</v>
      </c>
      <c r="T316" s="201">
        <f>'[1]NOV''25'!S322+P316-X316</f>
        <v>0</v>
      </c>
      <c r="U316" s="200">
        <f t="shared" si="78"/>
        <v>0</v>
      </c>
      <c r="V316" s="202">
        <v>354166.66666666698</v>
      </c>
      <c r="W316" s="203">
        <v>212500</v>
      </c>
      <c r="X316" s="203"/>
      <c r="Y316" s="200">
        <f t="shared" si="84"/>
        <v>566666.66666666698</v>
      </c>
      <c r="Z316" s="207">
        <f t="shared" si="85"/>
        <v>3895833.333333333</v>
      </c>
      <c r="AA316" s="96"/>
      <c r="AB316" s="96" t="e">
        <f>#REF!-#REF!</f>
        <v>#REF!</v>
      </c>
    </row>
    <row r="317" spans="2:28" s="55" customFormat="1" x14ac:dyDescent="0.3">
      <c r="B317" s="191">
        <v>186</v>
      </c>
      <c r="C317" s="192"/>
      <c r="D317" s="192"/>
      <c r="E317" s="208">
        <v>45604</v>
      </c>
      <c r="F317" s="192" t="s">
        <v>499</v>
      </c>
      <c r="G317" s="209" t="s">
        <v>117</v>
      </c>
      <c r="H317" s="194">
        <v>1660000</v>
      </c>
      <c r="I317" s="224"/>
      <c r="J317" s="225">
        <f t="shared" si="80"/>
        <v>13</v>
      </c>
      <c r="K317" s="210">
        <v>24</v>
      </c>
      <c r="L317" s="198">
        <f t="shared" si="79"/>
        <v>0.54166666666666663</v>
      </c>
      <c r="M317" s="194">
        <v>830000</v>
      </c>
      <c r="N317" s="199">
        <f t="shared" si="82"/>
        <v>69166.666666666672</v>
      </c>
      <c r="O317" s="200">
        <f t="shared" si="83"/>
        <v>41500</v>
      </c>
      <c r="P317" s="200"/>
      <c r="Q317" s="200">
        <f t="shared" si="81"/>
        <v>110666.66666666667</v>
      </c>
      <c r="R317" s="201">
        <f>'[1]NOV''25'!Q323+N317-V317</f>
        <v>0</v>
      </c>
      <c r="S317" s="201">
        <f>'[1]NOV''25'!R323+O317-W317</f>
        <v>0</v>
      </c>
      <c r="T317" s="201">
        <f>'[1]NOV''25'!S323+P317-X317</f>
        <v>0</v>
      </c>
      <c r="U317" s="200">
        <f t="shared" si="78"/>
        <v>0</v>
      </c>
      <c r="V317" s="202">
        <v>69166.666666666701</v>
      </c>
      <c r="W317" s="203">
        <v>41500</v>
      </c>
      <c r="X317" s="203"/>
      <c r="Y317" s="200">
        <f t="shared" si="84"/>
        <v>110666.6666666667</v>
      </c>
      <c r="Z317" s="207">
        <f t="shared" si="85"/>
        <v>760833.33333333326</v>
      </c>
      <c r="AA317" s="96"/>
      <c r="AB317" s="96" t="e">
        <f>#REF!-#REF!</f>
        <v>#REF!</v>
      </c>
    </row>
    <row r="318" spans="2:28" s="55" customFormat="1" x14ac:dyDescent="0.3">
      <c r="B318" s="191">
        <v>188</v>
      </c>
      <c r="C318" s="192"/>
      <c r="D318" s="192"/>
      <c r="E318" s="208">
        <v>45607</v>
      </c>
      <c r="F318" s="192" t="s">
        <v>500</v>
      </c>
      <c r="G318" s="209" t="s">
        <v>117</v>
      </c>
      <c r="H318" s="194">
        <v>2360000</v>
      </c>
      <c r="I318" s="224"/>
      <c r="J318" s="225">
        <f t="shared" si="80"/>
        <v>12.999996610169525</v>
      </c>
      <c r="K318" s="210">
        <v>24</v>
      </c>
      <c r="L318" s="198">
        <f t="shared" si="79"/>
        <v>0.54166652542373017</v>
      </c>
      <c r="M318" s="194">
        <v>1180000.33333333</v>
      </c>
      <c r="N318" s="199">
        <f t="shared" si="82"/>
        <v>98333.333333333328</v>
      </c>
      <c r="O318" s="200">
        <f t="shared" si="83"/>
        <v>59000</v>
      </c>
      <c r="P318" s="200"/>
      <c r="Q318" s="200">
        <f t="shared" si="81"/>
        <v>157333.33333333331</v>
      </c>
      <c r="R318" s="201">
        <f>'[1]NOV''25'!Q325+N318-V318</f>
        <v>0.33333333335758653</v>
      </c>
      <c r="S318" s="201">
        <f>'[1]NOV''25'!R325+O318-W318</f>
        <v>0</v>
      </c>
      <c r="T318" s="201">
        <f>'[1]NOV''25'!S325+P318-X318</f>
        <v>0</v>
      </c>
      <c r="U318" s="200">
        <f t="shared" si="78"/>
        <v>0.33333333335758653</v>
      </c>
      <c r="V318" s="202">
        <v>98333.333333333299</v>
      </c>
      <c r="W318" s="203">
        <v>59000</v>
      </c>
      <c r="X318" s="203"/>
      <c r="Y318" s="200">
        <f t="shared" si="84"/>
        <v>157333.33333333331</v>
      </c>
      <c r="Z318" s="207">
        <f t="shared" si="85"/>
        <v>1081666.9999999967</v>
      </c>
      <c r="AA318" s="96"/>
      <c r="AB318" s="96" t="e">
        <f>#REF!-#REF!</f>
        <v>#REF!</v>
      </c>
    </row>
    <row r="319" spans="2:28" s="265" customFormat="1" x14ac:dyDescent="0.3">
      <c r="B319" s="250">
        <v>189</v>
      </c>
      <c r="C319" s="251"/>
      <c r="D319" s="251"/>
      <c r="E319" s="252">
        <v>45607</v>
      </c>
      <c r="F319" s="251" t="s">
        <v>501</v>
      </c>
      <c r="G319" s="253" t="s">
        <v>33</v>
      </c>
      <c r="H319" s="254">
        <v>5000000</v>
      </c>
      <c r="I319" s="255"/>
      <c r="J319" s="256">
        <f t="shared" si="80"/>
        <v>12.999999998400014</v>
      </c>
      <c r="K319" s="257">
        <v>24</v>
      </c>
      <c r="L319" s="258">
        <f t="shared" si="79"/>
        <v>0.54166666660000062</v>
      </c>
      <c r="M319" s="194">
        <v>2500000.0003333301</v>
      </c>
      <c r="N319" s="259">
        <f t="shared" si="82"/>
        <v>208333.33333333334</v>
      </c>
      <c r="O319" s="260">
        <f t="shared" si="83"/>
        <v>125000</v>
      </c>
      <c r="P319" s="260"/>
      <c r="Q319" s="260">
        <f t="shared" si="81"/>
        <v>333333.33333333337</v>
      </c>
      <c r="R319" s="201">
        <f>'[1]NOV''25'!Q326+N319-V319</f>
        <v>3.3333367900922894E-4</v>
      </c>
      <c r="S319" s="201">
        <f>'[1]NOV''25'!R326+O319-W319</f>
        <v>0</v>
      </c>
      <c r="T319" s="201">
        <f>'[1]NOV''25'!S326+P319-X319</f>
        <v>0</v>
      </c>
      <c r="U319" s="200">
        <f t="shared" si="78"/>
        <v>3.3333367900922894E-4</v>
      </c>
      <c r="V319" s="261">
        <v>208333.33333333299</v>
      </c>
      <c r="W319" s="262">
        <v>125000</v>
      </c>
      <c r="X319" s="262"/>
      <c r="Y319" s="200">
        <f t="shared" si="84"/>
        <v>333333.33333333302</v>
      </c>
      <c r="Z319" s="263">
        <f t="shared" si="85"/>
        <v>2291666.6669999971</v>
      </c>
      <c r="AA319" s="96" t="s">
        <v>502</v>
      </c>
      <c r="AB319" s="96" t="e">
        <f>#REF!-#REF!</f>
        <v>#REF!</v>
      </c>
    </row>
    <row r="320" spans="2:28" s="55" customFormat="1" x14ac:dyDescent="0.3">
      <c r="B320" s="191">
        <v>190</v>
      </c>
      <c r="C320" s="192"/>
      <c r="D320" s="192"/>
      <c r="E320" s="208">
        <v>45608</v>
      </c>
      <c r="F320" s="192" t="s">
        <v>503</v>
      </c>
      <c r="G320" s="209" t="s">
        <v>33</v>
      </c>
      <c r="H320" s="194">
        <v>3760000</v>
      </c>
      <c r="I320" s="224"/>
      <c r="J320" s="225">
        <f t="shared" si="80"/>
        <v>13.000000000000004</v>
      </c>
      <c r="K320" s="210">
        <v>24</v>
      </c>
      <c r="L320" s="198">
        <f t="shared" si="79"/>
        <v>0.54166666666666685</v>
      </c>
      <c r="M320" s="194">
        <v>1880000</v>
      </c>
      <c r="N320" s="199">
        <f t="shared" si="82"/>
        <v>156666.66666666666</v>
      </c>
      <c r="O320" s="200">
        <f t="shared" si="83"/>
        <v>94000</v>
      </c>
      <c r="P320" s="200"/>
      <c r="Q320" s="200">
        <f t="shared" si="81"/>
        <v>250666.66666666666</v>
      </c>
      <c r="R320" s="201">
        <f>'[1]NOV''25'!Q327+N320-V320</f>
        <v>-3.4924596548080444E-10</v>
      </c>
      <c r="S320" s="201">
        <f>'[1]NOV''25'!R327+O320-W320</f>
        <v>0</v>
      </c>
      <c r="T320" s="201">
        <f>'[1]NOV''25'!S327+P320-X320</f>
        <v>0</v>
      </c>
      <c r="U320" s="200">
        <f t="shared" si="78"/>
        <v>-3.4924596548080444E-10</v>
      </c>
      <c r="V320" s="202">
        <v>156666.66666666701</v>
      </c>
      <c r="W320" s="203">
        <v>94000</v>
      </c>
      <c r="X320" s="203"/>
      <c r="Y320" s="200">
        <f t="shared" si="84"/>
        <v>250666.66666666701</v>
      </c>
      <c r="Z320" s="207">
        <f t="shared" si="85"/>
        <v>1723333.333333333</v>
      </c>
      <c r="AA320" s="96"/>
      <c r="AB320" s="96" t="e">
        <f>#REF!-#REF!</f>
        <v>#REF!</v>
      </c>
    </row>
    <row r="321" spans="2:28" s="55" customFormat="1" x14ac:dyDescent="0.3">
      <c r="B321" s="191">
        <v>191</v>
      </c>
      <c r="C321" s="192"/>
      <c r="D321" s="192"/>
      <c r="E321" s="208">
        <v>45608</v>
      </c>
      <c r="F321" s="192" t="s">
        <v>504</v>
      </c>
      <c r="G321" s="209" t="s">
        <v>239</v>
      </c>
      <c r="H321" s="194">
        <v>12370000</v>
      </c>
      <c r="I321" s="224"/>
      <c r="J321" s="225">
        <f t="shared" si="80"/>
        <v>13</v>
      </c>
      <c r="K321" s="210">
        <v>24</v>
      </c>
      <c r="L321" s="198">
        <f t="shared" si="79"/>
        <v>0.54166666666666663</v>
      </c>
      <c r="M321" s="194">
        <v>6185000</v>
      </c>
      <c r="N321" s="199">
        <f t="shared" si="82"/>
        <v>515416.66666666669</v>
      </c>
      <c r="O321" s="200">
        <f t="shared" si="83"/>
        <v>309250</v>
      </c>
      <c r="P321" s="200"/>
      <c r="Q321" s="200">
        <f t="shared" si="81"/>
        <v>824666.66666666674</v>
      </c>
      <c r="R321" s="201">
        <f>'[1]NOV''25'!Q328+N321-V321</f>
        <v>0</v>
      </c>
      <c r="S321" s="201">
        <f>'[1]NOV''25'!R328+O321-W321</f>
        <v>0</v>
      </c>
      <c r="T321" s="201">
        <f>'[1]NOV''25'!S328+P321-X321</f>
        <v>0</v>
      </c>
      <c r="U321" s="200">
        <f t="shared" si="78"/>
        <v>0</v>
      </c>
      <c r="V321" s="202">
        <v>515416.66666666698</v>
      </c>
      <c r="W321" s="203">
        <v>309250</v>
      </c>
      <c r="X321" s="203"/>
      <c r="Y321" s="200">
        <f t="shared" si="84"/>
        <v>824666.66666666698</v>
      </c>
      <c r="Z321" s="207">
        <f t="shared" si="85"/>
        <v>5669583.333333333</v>
      </c>
      <c r="AA321" s="96"/>
      <c r="AB321" s="96" t="e">
        <f>#REF!-#REF!</f>
        <v>#REF!</v>
      </c>
    </row>
    <row r="322" spans="2:28" s="55" customFormat="1" x14ac:dyDescent="0.3">
      <c r="B322" s="191">
        <v>192</v>
      </c>
      <c r="C322" s="192"/>
      <c r="D322" s="192"/>
      <c r="E322" s="208">
        <v>45609</v>
      </c>
      <c r="F322" s="192" t="s">
        <v>505</v>
      </c>
      <c r="G322" s="209" t="s">
        <v>239</v>
      </c>
      <c r="H322" s="194">
        <v>8450000</v>
      </c>
      <c r="I322" s="224"/>
      <c r="J322" s="225">
        <f t="shared" si="80"/>
        <v>13</v>
      </c>
      <c r="K322" s="210">
        <v>24</v>
      </c>
      <c r="L322" s="198">
        <f t="shared" si="79"/>
        <v>0.54166666666666663</v>
      </c>
      <c r="M322" s="194">
        <v>4225000</v>
      </c>
      <c r="N322" s="199">
        <f t="shared" si="82"/>
        <v>352083.33333333331</v>
      </c>
      <c r="O322" s="200">
        <f t="shared" si="83"/>
        <v>211250</v>
      </c>
      <c r="P322" s="200"/>
      <c r="Q322" s="200">
        <f t="shared" si="81"/>
        <v>563333.33333333326</v>
      </c>
      <c r="R322" s="201">
        <f>'[1]NOV''25'!Q329+N322-V322</f>
        <v>0</v>
      </c>
      <c r="S322" s="201">
        <f>'[1]NOV''25'!R329+O322-W322</f>
        <v>0</v>
      </c>
      <c r="T322" s="201">
        <f>'[1]NOV''25'!S329+P322-X322</f>
        <v>0</v>
      </c>
      <c r="U322" s="200">
        <f t="shared" si="78"/>
        <v>0</v>
      </c>
      <c r="V322" s="202">
        <v>352083.33333333302</v>
      </c>
      <c r="W322" s="203">
        <v>211250</v>
      </c>
      <c r="X322" s="203"/>
      <c r="Y322" s="200">
        <f t="shared" si="84"/>
        <v>563333.33333333302</v>
      </c>
      <c r="Z322" s="207">
        <f t="shared" si="85"/>
        <v>3872916.666666667</v>
      </c>
      <c r="AA322" s="96"/>
      <c r="AB322" s="96" t="e">
        <f>#REF!-#REF!</f>
        <v>#REF!</v>
      </c>
    </row>
    <row r="323" spans="2:28" s="55" customFormat="1" x14ac:dyDescent="0.3">
      <c r="B323" s="191">
        <v>193</v>
      </c>
      <c r="C323" s="192"/>
      <c r="D323" s="192"/>
      <c r="E323" s="208">
        <v>45609</v>
      </c>
      <c r="F323" s="192" t="s">
        <v>506</v>
      </c>
      <c r="G323" s="209" t="s">
        <v>239</v>
      </c>
      <c r="H323" s="194">
        <v>8530000</v>
      </c>
      <c r="I323" s="224"/>
      <c r="J323" s="225">
        <f t="shared" si="80"/>
        <v>10.999999999999991</v>
      </c>
      <c r="K323" s="210">
        <v>24</v>
      </c>
      <c r="L323" s="198">
        <f t="shared" si="79"/>
        <v>0.45833333333333298</v>
      </c>
      <c r="M323" s="194">
        <v>4620416.6666666698</v>
      </c>
      <c r="N323" s="199">
        <f t="shared" si="82"/>
        <v>355416.66666666669</v>
      </c>
      <c r="O323" s="200">
        <f t="shared" si="83"/>
        <v>213250</v>
      </c>
      <c r="P323" s="200"/>
      <c r="Q323" s="200">
        <f t="shared" si="81"/>
        <v>568666.66666666674</v>
      </c>
      <c r="R323" s="201">
        <f>'[1]NOV''25'!Q330+N323-V323</f>
        <v>710833.33333333372</v>
      </c>
      <c r="S323" s="201">
        <f>'[1]NOV''25'!R330+O323-W323</f>
        <v>426500</v>
      </c>
      <c r="T323" s="201">
        <f>'[1]NOV''25'!S330+P323-X323</f>
        <v>0</v>
      </c>
      <c r="U323" s="200">
        <f t="shared" si="78"/>
        <v>1137333.3333333337</v>
      </c>
      <c r="V323" s="202"/>
      <c r="W323" s="203"/>
      <c r="X323" s="203"/>
      <c r="Y323" s="200">
        <f t="shared" si="84"/>
        <v>0</v>
      </c>
      <c r="Z323" s="207">
        <f t="shared" si="85"/>
        <v>4620416.6666666698</v>
      </c>
      <c r="AA323" s="96" t="s">
        <v>455</v>
      </c>
      <c r="AB323" s="96" t="e">
        <f>#REF!-#REF!</f>
        <v>#REF!</v>
      </c>
    </row>
    <row r="324" spans="2:28" s="55" customFormat="1" x14ac:dyDescent="0.3">
      <c r="B324" s="191">
        <v>194</v>
      </c>
      <c r="C324" s="192"/>
      <c r="D324" s="192"/>
      <c r="E324" s="208">
        <v>45610</v>
      </c>
      <c r="F324" s="192" t="s">
        <v>507</v>
      </c>
      <c r="G324" s="209" t="s">
        <v>117</v>
      </c>
      <c r="H324" s="194">
        <v>1850000</v>
      </c>
      <c r="I324" s="224"/>
      <c r="J324" s="225">
        <f t="shared" si="80"/>
        <v>13</v>
      </c>
      <c r="K324" s="210">
        <v>24</v>
      </c>
      <c r="L324" s="198">
        <f t="shared" si="79"/>
        <v>0.54166666666666663</v>
      </c>
      <c r="M324" s="194">
        <v>925000</v>
      </c>
      <c r="N324" s="199">
        <f t="shared" si="82"/>
        <v>77083.333333333328</v>
      </c>
      <c r="O324" s="200">
        <f t="shared" si="83"/>
        <v>46250</v>
      </c>
      <c r="P324" s="200"/>
      <c r="Q324" s="200">
        <f t="shared" si="81"/>
        <v>123333.33333333333</v>
      </c>
      <c r="R324" s="201">
        <f>'[1]NOV''25'!Q331+N324-V324</f>
        <v>0</v>
      </c>
      <c r="S324" s="201">
        <f>'[1]NOV''25'!R331+O324-W324</f>
        <v>0</v>
      </c>
      <c r="T324" s="201">
        <f>'[1]NOV''25'!S331+P324-X324</f>
        <v>0</v>
      </c>
      <c r="U324" s="200">
        <f t="shared" si="78"/>
        <v>0</v>
      </c>
      <c r="V324" s="202">
        <v>77083.333333333299</v>
      </c>
      <c r="W324" s="203">
        <v>46250</v>
      </c>
      <c r="X324" s="203"/>
      <c r="Y324" s="200">
        <f t="shared" si="84"/>
        <v>123333.3333333333</v>
      </c>
      <c r="Z324" s="207">
        <f t="shared" si="85"/>
        <v>847916.66666666674</v>
      </c>
      <c r="AA324" s="96"/>
      <c r="AB324" s="96" t="e">
        <f>#REF!-#REF!</f>
        <v>#REF!</v>
      </c>
    </row>
    <row r="325" spans="2:28" s="55" customFormat="1" x14ac:dyDescent="0.3">
      <c r="B325" s="191">
        <v>195</v>
      </c>
      <c r="C325" s="192"/>
      <c r="D325" s="192"/>
      <c r="E325" s="208">
        <v>45614</v>
      </c>
      <c r="F325" s="192" t="s">
        <v>508</v>
      </c>
      <c r="G325" s="209" t="s">
        <v>509</v>
      </c>
      <c r="H325" s="194">
        <v>1560000</v>
      </c>
      <c r="I325" s="224"/>
      <c r="J325" s="225">
        <f t="shared" si="80"/>
        <v>13</v>
      </c>
      <c r="K325" s="210">
        <v>24</v>
      </c>
      <c r="L325" s="198">
        <f t="shared" si="79"/>
        <v>0.54166666666666663</v>
      </c>
      <c r="M325" s="194">
        <v>845000</v>
      </c>
      <c r="N325" s="199">
        <f t="shared" si="82"/>
        <v>65000</v>
      </c>
      <c r="O325" s="200">
        <f t="shared" si="83"/>
        <v>39000</v>
      </c>
      <c r="P325" s="200"/>
      <c r="Q325" s="200">
        <f t="shared" si="81"/>
        <v>104000</v>
      </c>
      <c r="R325" s="201">
        <f>'[1]NOV''25'!Q332+N325-V325</f>
        <v>0</v>
      </c>
      <c r="S325" s="201">
        <f>'[1]NOV''25'!R332+O325-W325</f>
        <v>0</v>
      </c>
      <c r="T325" s="201">
        <f>'[1]NOV''25'!S332+P325-X325</f>
        <v>0</v>
      </c>
      <c r="U325" s="200">
        <f t="shared" si="78"/>
        <v>0</v>
      </c>
      <c r="V325" s="202">
        <f>65000+65000</f>
        <v>130000</v>
      </c>
      <c r="W325" s="203">
        <f>39000+39000</f>
        <v>78000</v>
      </c>
      <c r="X325" s="203"/>
      <c r="Y325" s="200">
        <f t="shared" si="84"/>
        <v>208000</v>
      </c>
      <c r="Z325" s="207">
        <f t="shared" si="85"/>
        <v>715000</v>
      </c>
      <c r="AA325" s="96"/>
      <c r="AB325" s="96" t="e">
        <f>#REF!-#REF!</f>
        <v>#REF!</v>
      </c>
    </row>
    <row r="326" spans="2:28" s="54" customFormat="1" x14ac:dyDescent="0.3">
      <c r="B326" s="56">
        <v>196</v>
      </c>
      <c r="C326" s="57"/>
      <c r="D326" s="57"/>
      <c r="E326" s="71">
        <v>45614</v>
      </c>
      <c r="F326" s="57" t="s">
        <v>510</v>
      </c>
      <c r="G326" s="72" t="s">
        <v>27</v>
      </c>
      <c r="H326" s="59">
        <v>3500000</v>
      </c>
      <c r="I326" s="60"/>
      <c r="J326" s="61">
        <f t="shared" si="80"/>
        <v>12.999997714285735</v>
      </c>
      <c r="K326" s="73">
        <v>24</v>
      </c>
      <c r="L326" s="52">
        <f t="shared" si="79"/>
        <v>0.54166657142857233</v>
      </c>
      <c r="M326" s="59">
        <v>1895833.33333333</v>
      </c>
      <c r="N326" s="63">
        <f t="shared" si="82"/>
        <v>145833.33333333334</v>
      </c>
      <c r="O326" s="64">
        <f t="shared" si="83"/>
        <v>87500</v>
      </c>
      <c r="P326" s="64"/>
      <c r="Q326" s="64">
        <f t="shared" si="81"/>
        <v>233333.33333333334</v>
      </c>
      <c r="R326" s="94">
        <f>'[1]NOV''25'!Q333+N326-V326</f>
        <v>0.33333333331393078</v>
      </c>
      <c r="S326" s="94">
        <f>'[1]NOV''25'!R333+O326-W326</f>
        <v>0</v>
      </c>
      <c r="T326" s="94">
        <f>'[1]NOV''25'!S333+P326-X326</f>
        <v>0</v>
      </c>
      <c r="U326" s="64">
        <f t="shared" si="78"/>
        <v>0.33333333331393078</v>
      </c>
      <c r="V326" s="65">
        <f>145833.333333333+145833</f>
        <v>291666.33333333302</v>
      </c>
      <c r="W326" s="66">
        <f>87500+87500</f>
        <v>175000</v>
      </c>
      <c r="X326" s="66"/>
      <c r="Y326" s="64">
        <f t="shared" si="84"/>
        <v>466666.33333333302</v>
      </c>
      <c r="Z326" s="67">
        <f t="shared" si="85"/>
        <v>1604166.999999997</v>
      </c>
      <c r="AA326" s="98"/>
      <c r="AB326" s="96" t="e">
        <f>#REF!-#REF!</f>
        <v>#REF!</v>
      </c>
    </row>
    <row r="327" spans="2:28" s="55" customFormat="1" x14ac:dyDescent="0.3">
      <c r="B327" s="191">
        <v>197</v>
      </c>
      <c r="C327" s="192"/>
      <c r="D327" s="192"/>
      <c r="E327" s="208">
        <v>45615</v>
      </c>
      <c r="F327" s="192" t="s">
        <v>511</v>
      </c>
      <c r="G327" s="209" t="s">
        <v>512</v>
      </c>
      <c r="H327" s="194">
        <v>8500000</v>
      </c>
      <c r="I327" s="224"/>
      <c r="J327" s="225">
        <f t="shared" si="80"/>
        <v>10.999999999999991</v>
      </c>
      <c r="K327" s="210">
        <v>24</v>
      </c>
      <c r="L327" s="198">
        <f t="shared" si="79"/>
        <v>0.45833333333333298</v>
      </c>
      <c r="M327" s="194">
        <v>4604166.6666666698</v>
      </c>
      <c r="N327" s="199">
        <f t="shared" si="82"/>
        <v>354166.66666666669</v>
      </c>
      <c r="O327" s="200">
        <f t="shared" si="83"/>
        <v>212500</v>
      </c>
      <c r="P327" s="200"/>
      <c r="Q327" s="200">
        <f t="shared" si="81"/>
        <v>566666.66666666674</v>
      </c>
      <c r="R327" s="201">
        <f>'[1]NOV''25'!Q334+N327-V327</f>
        <v>708333.33333333372</v>
      </c>
      <c r="S327" s="201">
        <f>'[1]NOV''25'!R334+O327-W327</f>
        <v>288860</v>
      </c>
      <c r="T327" s="201">
        <f>'[1]NOV''25'!S334+P327-X327</f>
        <v>0</v>
      </c>
      <c r="U327" s="200">
        <f t="shared" ref="U327:U390" si="86">+R327+S327+T327</f>
        <v>997193.33333333372</v>
      </c>
      <c r="V327" s="202">
        <v>0</v>
      </c>
      <c r="W327" s="203">
        <v>136140</v>
      </c>
      <c r="X327" s="203"/>
      <c r="Y327" s="200">
        <f t="shared" si="84"/>
        <v>136140</v>
      </c>
      <c r="Z327" s="207">
        <f t="shared" si="85"/>
        <v>4604166.6666666698</v>
      </c>
      <c r="AA327" s="96" t="s">
        <v>455</v>
      </c>
      <c r="AB327" s="96" t="e">
        <f>#REF!-#REF!</f>
        <v>#REF!</v>
      </c>
    </row>
    <row r="328" spans="2:28" s="55" customFormat="1" x14ac:dyDescent="0.3">
      <c r="B328" s="191">
        <v>198</v>
      </c>
      <c r="C328" s="192"/>
      <c r="D328" s="192"/>
      <c r="E328" s="208">
        <v>45616</v>
      </c>
      <c r="F328" s="192" t="s">
        <v>513</v>
      </c>
      <c r="G328" s="209" t="s">
        <v>33</v>
      </c>
      <c r="H328" s="194">
        <v>1970000</v>
      </c>
      <c r="I328" s="224"/>
      <c r="J328" s="225">
        <f t="shared" si="80"/>
        <v>13</v>
      </c>
      <c r="K328" s="210">
        <v>24</v>
      </c>
      <c r="L328" s="198">
        <f t="shared" si="79"/>
        <v>0.54166666666666663</v>
      </c>
      <c r="M328" s="194">
        <v>985000</v>
      </c>
      <c r="N328" s="199">
        <f t="shared" si="82"/>
        <v>82083.333333333328</v>
      </c>
      <c r="O328" s="200">
        <f t="shared" si="83"/>
        <v>49250</v>
      </c>
      <c r="P328" s="200"/>
      <c r="Q328" s="200">
        <f t="shared" si="81"/>
        <v>131333.33333333331</v>
      </c>
      <c r="R328" s="201">
        <f>'[1]NOV''25'!Q335+N328-V328</f>
        <v>0</v>
      </c>
      <c r="S328" s="201">
        <f>'[1]NOV''25'!R335+O328-W328</f>
        <v>0</v>
      </c>
      <c r="T328" s="201">
        <f>'[1]NOV''25'!S335+P328-X328</f>
        <v>0</v>
      </c>
      <c r="U328" s="200">
        <f t="shared" si="86"/>
        <v>0</v>
      </c>
      <c r="V328" s="202">
        <v>82083.333333333299</v>
      </c>
      <c r="W328" s="203">
        <v>49250</v>
      </c>
      <c r="X328" s="203"/>
      <c r="Y328" s="200">
        <f t="shared" si="84"/>
        <v>131333.33333333331</v>
      </c>
      <c r="Z328" s="207">
        <f t="shared" si="85"/>
        <v>902916.66666666674</v>
      </c>
      <c r="AA328" s="96"/>
      <c r="AB328" s="96" t="e">
        <f>#REF!-#REF!</f>
        <v>#REF!</v>
      </c>
    </row>
    <row r="329" spans="2:28" s="55" customFormat="1" x14ac:dyDescent="0.3">
      <c r="B329" s="191">
        <v>199</v>
      </c>
      <c r="C329" s="192"/>
      <c r="D329" s="192"/>
      <c r="E329" s="208">
        <v>45617</v>
      </c>
      <c r="F329" s="192" t="s">
        <v>514</v>
      </c>
      <c r="G329" s="209" t="s">
        <v>76</v>
      </c>
      <c r="H329" s="194">
        <v>7990000</v>
      </c>
      <c r="I329" s="224"/>
      <c r="J329" s="225">
        <f t="shared" si="80"/>
        <v>13.000001001251555</v>
      </c>
      <c r="K329" s="210">
        <v>24</v>
      </c>
      <c r="L329" s="198">
        <f t="shared" si="79"/>
        <v>0.54166670838548148</v>
      </c>
      <c r="M329" s="194">
        <v>3994999.6666666698</v>
      </c>
      <c r="N329" s="199">
        <f t="shared" si="82"/>
        <v>332916.66666666669</v>
      </c>
      <c r="O329" s="200">
        <f t="shared" si="83"/>
        <v>199750</v>
      </c>
      <c r="P329" s="200"/>
      <c r="Q329" s="200">
        <f t="shared" si="81"/>
        <v>532666.66666666674</v>
      </c>
      <c r="R329" s="201">
        <f>'[1]NOV''25'!Q336+N329-V329</f>
        <v>-0.33333333360496908</v>
      </c>
      <c r="S329" s="201">
        <f>'[1]NOV''25'!R336+O329-W329</f>
        <v>0</v>
      </c>
      <c r="T329" s="201">
        <f>'[1]NOV''25'!S336+P329-X329</f>
        <v>0</v>
      </c>
      <c r="U329" s="200">
        <f t="shared" si="86"/>
        <v>-0.33333333360496908</v>
      </c>
      <c r="V329" s="202">
        <v>332916.66666666698</v>
      </c>
      <c r="W329" s="203">
        <v>199750</v>
      </c>
      <c r="X329" s="203"/>
      <c r="Y329" s="200">
        <f t="shared" si="84"/>
        <v>532666.66666666698</v>
      </c>
      <c r="Z329" s="207">
        <f t="shared" si="85"/>
        <v>3662083.0000000028</v>
      </c>
      <c r="AA329" s="96"/>
      <c r="AB329" s="96" t="e">
        <f>#REF!-#REF!</f>
        <v>#REF!</v>
      </c>
    </row>
    <row r="330" spans="2:28" s="55" customFormat="1" x14ac:dyDescent="0.3">
      <c r="B330" s="191">
        <v>200</v>
      </c>
      <c r="C330" s="192"/>
      <c r="D330" s="192"/>
      <c r="E330" s="208">
        <v>45618</v>
      </c>
      <c r="F330" s="192" t="s">
        <v>515</v>
      </c>
      <c r="G330" s="209" t="s">
        <v>516</v>
      </c>
      <c r="H330" s="194">
        <v>12000000</v>
      </c>
      <c r="I330" s="224"/>
      <c r="J330" s="225">
        <f t="shared" si="80"/>
        <v>12</v>
      </c>
      <c r="K330" s="210">
        <v>24</v>
      </c>
      <c r="L330" s="198">
        <f t="shared" si="79"/>
        <v>0.5</v>
      </c>
      <c r="M330" s="194">
        <v>6000000</v>
      </c>
      <c r="N330" s="199">
        <f t="shared" si="82"/>
        <v>500000</v>
      </c>
      <c r="O330" s="200">
        <f t="shared" si="83"/>
        <v>300000</v>
      </c>
      <c r="P330" s="200"/>
      <c r="Q330" s="200">
        <f t="shared" si="81"/>
        <v>800000</v>
      </c>
      <c r="R330" s="201">
        <f>'[1]NOV''25'!Q337+N330-V330</f>
        <v>500000</v>
      </c>
      <c r="S330" s="201">
        <f>'[1]NOV''25'!R337+O330-W330</f>
        <v>107557</v>
      </c>
      <c r="T330" s="201">
        <f>'[1]NOV''25'!S337+P330-X330</f>
        <v>0</v>
      </c>
      <c r="U330" s="200">
        <f t="shared" si="86"/>
        <v>607557</v>
      </c>
      <c r="V330" s="202"/>
      <c r="W330" s="203">
        <v>192443</v>
      </c>
      <c r="X330" s="203"/>
      <c r="Y330" s="200">
        <f t="shared" si="84"/>
        <v>192443</v>
      </c>
      <c r="Z330" s="207">
        <f t="shared" si="85"/>
        <v>6000000</v>
      </c>
      <c r="AA330" s="96" t="s">
        <v>455</v>
      </c>
      <c r="AB330" s="96" t="e">
        <f>#REF!-#REF!</f>
        <v>#REF!</v>
      </c>
    </row>
    <row r="331" spans="2:28" s="55" customFormat="1" x14ac:dyDescent="0.3">
      <c r="B331" s="191">
        <v>201</v>
      </c>
      <c r="C331" s="192"/>
      <c r="D331" s="192"/>
      <c r="E331" s="208">
        <v>45621</v>
      </c>
      <c r="F331" s="192" t="s">
        <v>517</v>
      </c>
      <c r="G331" s="209" t="s">
        <v>76</v>
      </c>
      <c r="H331" s="194">
        <v>7500000</v>
      </c>
      <c r="I331" s="224"/>
      <c r="J331" s="225">
        <f t="shared" si="80"/>
        <v>13</v>
      </c>
      <c r="K331" s="210">
        <v>24</v>
      </c>
      <c r="L331" s="198">
        <f t="shared" si="79"/>
        <v>0.54166666666666663</v>
      </c>
      <c r="M331" s="194">
        <v>3750000</v>
      </c>
      <c r="N331" s="199">
        <f t="shared" si="82"/>
        <v>312500</v>
      </c>
      <c r="O331" s="200">
        <f t="shared" si="83"/>
        <v>187500</v>
      </c>
      <c r="P331" s="200"/>
      <c r="Q331" s="200">
        <f t="shared" si="81"/>
        <v>500000</v>
      </c>
      <c r="R331" s="201">
        <f>'[1]NOV''25'!Q338+N331-V331</f>
        <v>0</v>
      </c>
      <c r="S331" s="201">
        <f>'[1]NOV''25'!R338+O331-W331</f>
        <v>0</v>
      </c>
      <c r="T331" s="201">
        <f>'[1]NOV''25'!S338+P331-X331</f>
        <v>0</v>
      </c>
      <c r="U331" s="200">
        <f t="shared" si="86"/>
        <v>0</v>
      </c>
      <c r="V331" s="202">
        <v>312500</v>
      </c>
      <c r="W331" s="203">
        <v>187500</v>
      </c>
      <c r="X331" s="203"/>
      <c r="Y331" s="200">
        <f t="shared" si="84"/>
        <v>500000</v>
      </c>
      <c r="Z331" s="207">
        <f t="shared" si="85"/>
        <v>3437500</v>
      </c>
      <c r="AA331" s="96"/>
      <c r="AB331" s="96" t="e">
        <f>#REF!-#REF!</f>
        <v>#REF!</v>
      </c>
    </row>
    <row r="332" spans="2:28" s="55" customFormat="1" x14ac:dyDescent="0.3">
      <c r="B332" s="191">
        <v>202</v>
      </c>
      <c r="C332" s="192"/>
      <c r="D332" s="192"/>
      <c r="E332" s="208">
        <v>45621</v>
      </c>
      <c r="F332" s="192" t="s">
        <v>518</v>
      </c>
      <c r="G332" s="209" t="s">
        <v>519</v>
      </c>
      <c r="H332" s="194">
        <v>6500000</v>
      </c>
      <c r="I332" s="224"/>
      <c r="J332" s="225">
        <f t="shared" si="80"/>
        <v>13</v>
      </c>
      <c r="K332" s="210">
        <v>24</v>
      </c>
      <c r="L332" s="198">
        <f t="shared" si="79"/>
        <v>0.54166666666666663</v>
      </c>
      <c r="M332" s="194">
        <v>3250000</v>
      </c>
      <c r="N332" s="199">
        <f t="shared" si="82"/>
        <v>270833.33333333331</v>
      </c>
      <c r="O332" s="200">
        <f t="shared" si="83"/>
        <v>162500</v>
      </c>
      <c r="P332" s="200"/>
      <c r="Q332" s="200">
        <f t="shared" si="81"/>
        <v>433333.33333333331</v>
      </c>
      <c r="R332" s="201">
        <f>'[1]NOV''25'!Q339+N332-V332</f>
        <v>0</v>
      </c>
      <c r="S332" s="201">
        <f>'[1]NOV''25'!R339+O332-W332</f>
        <v>0</v>
      </c>
      <c r="T332" s="201">
        <f>'[1]NOV''25'!S339+P332-X332</f>
        <v>0</v>
      </c>
      <c r="U332" s="200">
        <f t="shared" si="86"/>
        <v>0</v>
      </c>
      <c r="V332" s="202">
        <v>270833.33333333302</v>
      </c>
      <c r="W332" s="203">
        <v>162500</v>
      </c>
      <c r="X332" s="203"/>
      <c r="Y332" s="200">
        <f t="shared" si="84"/>
        <v>433333.33333333302</v>
      </c>
      <c r="Z332" s="207">
        <f t="shared" si="85"/>
        <v>2979166.666666667</v>
      </c>
      <c r="AA332" s="96"/>
      <c r="AB332" s="96" t="e">
        <f>#REF!-#REF!</f>
        <v>#REF!</v>
      </c>
    </row>
    <row r="333" spans="2:28" s="55" customFormat="1" x14ac:dyDescent="0.3">
      <c r="B333" s="191">
        <v>203</v>
      </c>
      <c r="C333" s="192"/>
      <c r="D333" s="192"/>
      <c r="E333" s="208">
        <v>45621</v>
      </c>
      <c r="F333" s="192" t="s">
        <v>520</v>
      </c>
      <c r="G333" s="209" t="s">
        <v>239</v>
      </c>
      <c r="H333" s="194">
        <v>5000000</v>
      </c>
      <c r="I333" s="224"/>
      <c r="J333" s="225">
        <f t="shared" si="80"/>
        <v>12.999992000000015</v>
      </c>
      <c r="K333" s="210">
        <v>24</v>
      </c>
      <c r="L333" s="198">
        <f t="shared" ref="L333:L396" si="87">J333/K333</f>
        <v>0.54166633333333392</v>
      </c>
      <c r="M333" s="194">
        <v>2708334.3333333302</v>
      </c>
      <c r="N333" s="199">
        <f t="shared" si="82"/>
        <v>208333.33333333334</v>
      </c>
      <c r="O333" s="200">
        <f t="shared" si="83"/>
        <v>125000</v>
      </c>
      <c r="P333" s="200"/>
      <c r="Q333" s="200">
        <f t="shared" si="81"/>
        <v>333333.33333333337</v>
      </c>
      <c r="R333" s="201">
        <f>'[1]NOV''25'!Q340+N333-V333</f>
        <v>0.66666666633682325</v>
      </c>
      <c r="S333" s="201">
        <f>'[1]NOV''25'!R340+O333-W333</f>
        <v>0</v>
      </c>
      <c r="T333" s="201">
        <f>'[1]NOV''25'!S340+P333-X333</f>
        <v>0</v>
      </c>
      <c r="U333" s="200">
        <f t="shared" si="86"/>
        <v>0.66666666633682325</v>
      </c>
      <c r="V333" s="202">
        <f>208333+208333</f>
        <v>416666</v>
      </c>
      <c r="W333" s="203">
        <f>125000+125000</f>
        <v>250000</v>
      </c>
      <c r="X333" s="203"/>
      <c r="Y333" s="200">
        <f t="shared" si="84"/>
        <v>666666</v>
      </c>
      <c r="Z333" s="207">
        <f t="shared" si="85"/>
        <v>2291668.3333333302</v>
      </c>
      <c r="AA333" s="96"/>
      <c r="AB333" s="96" t="e">
        <f>#REF!-#REF!</f>
        <v>#REF!</v>
      </c>
    </row>
    <row r="334" spans="2:28" s="55" customFormat="1" x14ac:dyDescent="0.3">
      <c r="B334" s="191">
        <v>204</v>
      </c>
      <c r="C334" s="192"/>
      <c r="D334" s="192"/>
      <c r="E334" s="208">
        <v>45624</v>
      </c>
      <c r="F334" s="192" t="s">
        <v>521</v>
      </c>
      <c r="G334" s="209" t="s">
        <v>117</v>
      </c>
      <c r="H334" s="194">
        <v>2310000</v>
      </c>
      <c r="I334" s="224"/>
      <c r="J334" s="225">
        <f t="shared" si="80"/>
        <v>13</v>
      </c>
      <c r="K334" s="210">
        <v>24</v>
      </c>
      <c r="L334" s="198">
        <f t="shared" si="87"/>
        <v>0.54166666666666663</v>
      </c>
      <c r="M334" s="194">
        <v>1155000</v>
      </c>
      <c r="N334" s="199">
        <f t="shared" si="82"/>
        <v>96250</v>
      </c>
      <c r="O334" s="200">
        <f t="shared" si="83"/>
        <v>57750</v>
      </c>
      <c r="P334" s="200"/>
      <c r="Q334" s="200">
        <f t="shared" si="81"/>
        <v>154000</v>
      </c>
      <c r="R334" s="201">
        <f>'[1]NOV''25'!Q341+N334-V334</f>
        <v>0</v>
      </c>
      <c r="S334" s="201">
        <f>'[1]NOV''25'!R341+O334-W334</f>
        <v>0</v>
      </c>
      <c r="T334" s="201">
        <f>'[1]NOV''25'!S341+P334-X334</f>
        <v>0</v>
      </c>
      <c r="U334" s="200">
        <f t="shared" si="86"/>
        <v>0</v>
      </c>
      <c r="V334" s="202">
        <v>96250</v>
      </c>
      <c r="W334" s="203">
        <v>57750</v>
      </c>
      <c r="X334" s="203"/>
      <c r="Y334" s="200">
        <f t="shared" si="84"/>
        <v>154000</v>
      </c>
      <c r="Z334" s="207">
        <f t="shared" si="85"/>
        <v>1058750</v>
      </c>
      <c r="AA334" s="96"/>
      <c r="AB334" s="96" t="e">
        <f>#REF!-#REF!</f>
        <v>#REF!</v>
      </c>
    </row>
    <row r="335" spans="2:28" s="55" customFormat="1" x14ac:dyDescent="0.3">
      <c r="B335" s="191">
        <v>205</v>
      </c>
      <c r="C335" s="192"/>
      <c r="D335" s="192"/>
      <c r="E335" s="208">
        <v>45624</v>
      </c>
      <c r="F335" s="192" t="s">
        <v>522</v>
      </c>
      <c r="G335" s="209" t="s">
        <v>27</v>
      </c>
      <c r="H335" s="194">
        <v>8700000</v>
      </c>
      <c r="I335" s="224"/>
      <c r="J335" s="225">
        <f t="shared" si="80"/>
        <v>13</v>
      </c>
      <c r="K335" s="210">
        <v>24</v>
      </c>
      <c r="L335" s="198">
        <f t="shared" si="87"/>
        <v>0.54166666666666663</v>
      </c>
      <c r="M335" s="194">
        <v>4350000</v>
      </c>
      <c r="N335" s="199">
        <f t="shared" si="82"/>
        <v>362500</v>
      </c>
      <c r="O335" s="200">
        <f t="shared" si="83"/>
        <v>217500</v>
      </c>
      <c r="P335" s="200"/>
      <c r="Q335" s="200">
        <f t="shared" si="81"/>
        <v>580000</v>
      </c>
      <c r="R335" s="201">
        <f>'[1]NOV''25'!Q342+N335-V335</f>
        <v>0</v>
      </c>
      <c r="S335" s="201">
        <f>'[1]NOV''25'!R342+O335-W335</f>
        <v>0</v>
      </c>
      <c r="T335" s="201">
        <f>'[1]NOV''25'!S342+P335-X335</f>
        <v>0</v>
      </c>
      <c r="U335" s="200">
        <f t="shared" si="86"/>
        <v>0</v>
      </c>
      <c r="V335" s="202">
        <v>362500</v>
      </c>
      <c r="W335" s="203">
        <v>217500</v>
      </c>
      <c r="X335" s="203"/>
      <c r="Y335" s="200">
        <f t="shared" si="84"/>
        <v>580000</v>
      </c>
      <c r="Z335" s="207">
        <f t="shared" si="85"/>
        <v>3987500</v>
      </c>
      <c r="AA335" s="96"/>
      <c r="AB335" s="96" t="e">
        <f>#REF!-#REF!</f>
        <v>#REF!</v>
      </c>
    </row>
    <row r="336" spans="2:28" s="55" customFormat="1" x14ac:dyDescent="0.3">
      <c r="B336" s="191">
        <v>206</v>
      </c>
      <c r="C336" s="192"/>
      <c r="D336" s="192"/>
      <c r="E336" s="208">
        <v>45628</v>
      </c>
      <c r="F336" s="192" t="s">
        <v>523</v>
      </c>
      <c r="G336" s="209" t="s">
        <v>191</v>
      </c>
      <c r="H336" s="194">
        <v>6850000</v>
      </c>
      <c r="I336" s="224"/>
      <c r="J336" s="225">
        <f t="shared" si="80"/>
        <v>9.999998832116777</v>
      </c>
      <c r="K336" s="210">
        <v>24</v>
      </c>
      <c r="L336" s="198">
        <f t="shared" si="87"/>
        <v>0.41666661800486571</v>
      </c>
      <c r="M336" s="194">
        <v>3995833.6666666698</v>
      </c>
      <c r="N336" s="199">
        <f t="shared" si="82"/>
        <v>285416.66666666669</v>
      </c>
      <c r="O336" s="200">
        <f t="shared" si="83"/>
        <v>171250</v>
      </c>
      <c r="P336" s="200"/>
      <c r="Q336" s="200">
        <f t="shared" si="81"/>
        <v>456666.66666666669</v>
      </c>
      <c r="R336" s="201">
        <f>'[1]NOV''25'!Q343+N336-V336</f>
        <v>570833.33333333372</v>
      </c>
      <c r="S336" s="201">
        <f>'[1]NOV''25'!R343+O336-W336</f>
        <v>342500</v>
      </c>
      <c r="T336" s="201">
        <f>'[1]NOV''25'!S343+P336-X336</f>
        <v>0</v>
      </c>
      <c r="U336" s="200">
        <f t="shared" si="86"/>
        <v>913333.33333333372</v>
      </c>
      <c r="V336" s="202"/>
      <c r="W336" s="203"/>
      <c r="X336" s="203"/>
      <c r="Y336" s="200">
        <f t="shared" si="84"/>
        <v>0</v>
      </c>
      <c r="Z336" s="207">
        <f t="shared" si="85"/>
        <v>3995833.6666666698</v>
      </c>
      <c r="AA336" s="96" t="s">
        <v>455</v>
      </c>
      <c r="AB336" s="96" t="e">
        <f>#REF!-#REF!</f>
        <v>#REF!</v>
      </c>
    </row>
    <row r="337" spans="2:28" s="55" customFormat="1" x14ac:dyDescent="0.3">
      <c r="B337" s="191">
        <v>207</v>
      </c>
      <c r="C337" s="192"/>
      <c r="D337" s="192"/>
      <c r="E337" s="208">
        <v>45628</v>
      </c>
      <c r="F337" s="192" t="s">
        <v>524</v>
      </c>
      <c r="G337" s="209" t="s">
        <v>27</v>
      </c>
      <c r="H337" s="194">
        <v>4100000</v>
      </c>
      <c r="I337" s="224"/>
      <c r="J337" s="225">
        <f t="shared" si="80"/>
        <v>12.00000195121951</v>
      </c>
      <c r="K337" s="210">
        <v>24</v>
      </c>
      <c r="L337" s="198">
        <f t="shared" si="87"/>
        <v>0.50000008130081286</v>
      </c>
      <c r="M337" s="194">
        <v>2220833</v>
      </c>
      <c r="N337" s="199">
        <f t="shared" si="82"/>
        <v>170833.33333333334</v>
      </c>
      <c r="O337" s="200">
        <f t="shared" si="83"/>
        <v>102500</v>
      </c>
      <c r="P337" s="200"/>
      <c r="Q337" s="200">
        <f t="shared" si="81"/>
        <v>273333.33333333337</v>
      </c>
      <c r="R337" s="201">
        <f>'[1]NOV''25'!Q344+N337-V337</f>
        <v>3.4924596548080444E-10</v>
      </c>
      <c r="S337" s="201">
        <f>'[1]NOV''25'!R344+O337-W337</f>
        <v>0</v>
      </c>
      <c r="T337" s="201">
        <f>'[1]NOV''25'!S344+P337-X337</f>
        <v>0</v>
      </c>
      <c r="U337" s="200">
        <f t="shared" si="86"/>
        <v>3.4924596548080444E-10</v>
      </c>
      <c r="V337" s="202">
        <v>170833.33333333299</v>
      </c>
      <c r="W337" s="203">
        <v>102500</v>
      </c>
      <c r="X337" s="203"/>
      <c r="Y337" s="200">
        <f t="shared" si="84"/>
        <v>273333.33333333302</v>
      </c>
      <c r="Z337" s="207">
        <f t="shared" si="85"/>
        <v>2049999.666666667</v>
      </c>
      <c r="AA337" s="96"/>
      <c r="AB337" s="96" t="e">
        <f>#REF!-#REF!</f>
        <v>#REF!</v>
      </c>
    </row>
    <row r="338" spans="2:28" s="55" customFormat="1" x14ac:dyDescent="0.3">
      <c r="B338" s="191">
        <v>208</v>
      </c>
      <c r="C338" s="192"/>
      <c r="D338" s="192"/>
      <c r="E338" s="208">
        <v>45628</v>
      </c>
      <c r="F338" s="192" t="s">
        <v>525</v>
      </c>
      <c r="G338" s="209" t="s">
        <v>27</v>
      </c>
      <c r="H338" s="194">
        <v>9300000</v>
      </c>
      <c r="I338" s="224"/>
      <c r="J338" s="225">
        <f t="shared" si="80"/>
        <v>12</v>
      </c>
      <c r="K338" s="210">
        <v>24</v>
      </c>
      <c r="L338" s="198">
        <f t="shared" si="87"/>
        <v>0.5</v>
      </c>
      <c r="M338" s="194">
        <v>5037500</v>
      </c>
      <c r="N338" s="199">
        <f t="shared" si="82"/>
        <v>387500</v>
      </c>
      <c r="O338" s="200">
        <f t="shared" si="83"/>
        <v>232500</v>
      </c>
      <c r="P338" s="200"/>
      <c r="Q338" s="200">
        <f t="shared" si="81"/>
        <v>620000</v>
      </c>
      <c r="R338" s="201">
        <f>'[1]NOV''25'!Q345+N338-V338</f>
        <v>0</v>
      </c>
      <c r="S338" s="201">
        <f>'[1]NOV''25'!R345+O338-W338</f>
        <v>0</v>
      </c>
      <c r="T338" s="201">
        <f>'[1]NOV''25'!S345+P338-X338</f>
        <v>0</v>
      </c>
      <c r="U338" s="200">
        <f t="shared" si="86"/>
        <v>0</v>
      </c>
      <c r="V338" s="202">
        <v>387500</v>
      </c>
      <c r="W338" s="203">
        <v>232500</v>
      </c>
      <c r="X338" s="203"/>
      <c r="Y338" s="200">
        <f t="shared" si="84"/>
        <v>620000</v>
      </c>
      <c r="Z338" s="207">
        <f t="shared" si="85"/>
        <v>4650000</v>
      </c>
      <c r="AA338" s="96"/>
      <c r="AB338" s="96" t="e">
        <f>#REF!-#REF!</f>
        <v>#REF!</v>
      </c>
    </row>
    <row r="339" spans="2:28" s="55" customFormat="1" x14ac:dyDescent="0.3">
      <c r="B339" s="191">
        <v>209</v>
      </c>
      <c r="C339" s="192"/>
      <c r="D339" s="192"/>
      <c r="E339" s="208">
        <v>45629</v>
      </c>
      <c r="F339" s="192" t="s">
        <v>526</v>
      </c>
      <c r="G339" s="209" t="s">
        <v>38</v>
      </c>
      <c r="H339" s="194">
        <v>5550000</v>
      </c>
      <c r="I339" s="224"/>
      <c r="J339" s="225">
        <f t="shared" ref="J339:J402" si="88">(H339-Z339)/N339</f>
        <v>12</v>
      </c>
      <c r="K339" s="210">
        <v>24</v>
      </c>
      <c r="L339" s="198">
        <f t="shared" si="87"/>
        <v>0.5</v>
      </c>
      <c r="M339" s="194">
        <v>3006250</v>
      </c>
      <c r="N339" s="199">
        <f t="shared" si="82"/>
        <v>231250</v>
      </c>
      <c r="O339" s="200">
        <f t="shared" si="83"/>
        <v>138750</v>
      </c>
      <c r="P339" s="200"/>
      <c r="Q339" s="200">
        <f t="shared" ref="Q339:Q402" si="89">+N339+O339</f>
        <v>370000</v>
      </c>
      <c r="R339" s="201">
        <f>'[1]NOV''25'!Q346+N339-V339</f>
        <v>0</v>
      </c>
      <c r="S339" s="201">
        <f>'[1]NOV''25'!R346+O339-W339</f>
        <v>0</v>
      </c>
      <c r="T339" s="201">
        <f>'[1]NOV''25'!S346+P339-X339</f>
        <v>0</v>
      </c>
      <c r="U339" s="200">
        <f t="shared" si="86"/>
        <v>0</v>
      </c>
      <c r="V339" s="202">
        <v>231250</v>
      </c>
      <c r="W339" s="203">
        <v>138750</v>
      </c>
      <c r="X339" s="203"/>
      <c r="Y339" s="200">
        <f t="shared" si="84"/>
        <v>370000</v>
      </c>
      <c r="Z339" s="207">
        <f t="shared" si="85"/>
        <v>2775000</v>
      </c>
      <c r="AA339" s="96"/>
      <c r="AB339" s="96" t="e">
        <f>#REF!-#REF!</f>
        <v>#REF!</v>
      </c>
    </row>
    <row r="340" spans="2:28" s="55" customFormat="1" x14ac:dyDescent="0.3">
      <c r="B340" s="191">
        <v>210</v>
      </c>
      <c r="C340" s="192"/>
      <c r="D340" s="192"/>
      <c r="E340" s="208">
        <v>45631</v>
      </c>
      <c r="F340" s="192" t="s">
        <v>527</v>
      </c>
      <c r="G340" s="209" t="s">
        <v>27</v>
      </c>
      <c r="H340" s="194">
        <v>2070000</v>
      </c>
      <c r="I340" s="224"/>
      <c r="J340" s="225">
        <f t="shared" si="88"/>
        <v>12</v>
      </c>
      <c r="K340" s="210">
        <v>24</v>
      </c>
      <c r="L340" s="198">
        <f t="shared" si="87"/>
        <v>0.5</v>
      </c>
      <c r="M340" s="194">
        <v>1121250</v>
      </c>
      <c r="N340" s="199">
        <f t="shared" ref="N340:N403" si="90">SUM(H340/K340)</f>
        <v>86250</v>
      </c>
      <c r="O340" s="200">
        <f t="shared" ref="O340:O344" si="91">SUM(H340*2.5/100)</f>
        <v>51750</v>
      </c>
      <c r="P340" s="200"/>
      <c r="Q340" s="200">
        <f t="shared" si="89"/>
        <v>138000</v>
      </c>
      <c r="R340" s="201">
        <f>'[1]NOV''25'!Q347+N340-V340</f>
        <v>0</v>
      </c>
      <c r="S340" s="201">
        <f>'[1]NOV''25'!R347+O340-W340</f>
        <v>0</v>
      </c>
      <c r="T340" s="201">
        <f>'[1]NOV''25'!S347+P340-X340</f>
        <v>0</v>
      </c>
      <c r="U340" s="200">
        <f t="shared" si="86"/>
        <v>0</v>
      </c>
      <c r="V340" s="202">
        <v>86250</v>
      </c>
      <c r="W340" s="203">
        <v>51750</v>
      </c>
      <c r="X340" s="203"/>
      <c r="Y340" s="200">
        <f t="shared" ref="Y340:Y403" si="92">+V340+W340+X340</f>
        <v>138000</v>
      </c>
      <c r="Z340" s="207">
        <f t="shared" si="85"/>
        <v>1035000</v>
      </c>
      <c r="AA340" s="96"/>
      <c r="AB340" s="96" t="e">
        <f>#REF!-#REF!</f>
        <v>#REF!</v>
      </c>
    </row>
    <row r="341" spans="2:28" s="55" customFormat="1" x14ac:dyDescent="0.3">
      <c r="B341" s="191">
        <v>211</v>
      </c>
      <c r="C341" s="192"/>
      <c r="D341" s="192"/>
      <c r="E341" s="208">
        <v>45631</v>
      </c>
      <c r="F341" s="192" t="s">
        <v>528</v>
      </c>
      <c r="G341" s="209" t="s">
        <v>117</v>
      </c>
      <c r="H341" s="194">
        <v>6620000</v>
      </c>
      <c r="I341" s="224"/>
      <c r="J341" s="225">
        <f t="shared" si="88"/>
        <v>10.000001208459226</v>
      </c>
      <c r="K341" s="210">
        <v>24</v>
      </c>
      <c r="L341" s="198">
        <f t="shared" si="87"/>
        <v>0.41666671701913444</v>
      </c>
      <c r="M341" s="194">
        <v>3861666.3333333302</v>
      </c>
      <c r="N341" s="199">
        <f t="shared" si="90"/>
        <v>275833.33333333331</v>
      </c>
      <c r="O341" s="200">
        <f t="shared" si="91"/>
        <v>165500</v>
      </c>
      <c r="P341" s="200"/>
      <c r="Q341" s="200">
        <f t="shared" si="89"/>
        <v>441333.33333333331</v>
      </c>
      <c r="R341" s="201">
        <f>'[1]NOV''25'!Q348+N341-V341</f>
        <v>551666.66666666628</v>
      </c>
      <c r="S341" s="201">
        <f>'[1]NOV''25'!R348+O341-W341</f>
        <v>331000</v>
      </c>
      <c r="T341" s="201">
        <f>'[1]NOV''25'!S348+P341-X341</f>
        <v>0</v>
      </c>
      <c r="U341" s="200">
        <f t="shared" si="86"/>
        <v>882666.66666666628</v>
      </c>
      <c r="V341" s="202"/>
      <c r="W341" s="203"/>
      <c r="X341" s="203"/>
      <c r="Y341" s="200">
        <f t="shared" si="92"/>
        <v>0</v>
      </c>
      <c r="Z341" s="207">
        <f t="shared" si="85"/>
        <v>3861666.3333333302</v>
      </c>
      <c r="AA341" s="96" t="s">
        <v>455</v>
      </c>
      <c r="AB341" s="96" t="e">
        <f>#REF!-#REF!</f>
        <v>#REF!</v>
      </c>
    </row>
    <row r="342" spans="2:28" s="55" customFormat="1" x14ac:dyDescent="0.3">
      <c r="B342" s="191">
        <v>212</v>
      </c>
      <c r="C342" s="192"/>
      <c r="D342" s="192"/>
      <c r="E342" s="208">
        <v>45635</v>
      </c>
      <c r="F342" s="192" t="s">
        <v>529</v>
      </c>
      <c r="G342" s="209" t="s">
        <v>282</v>
      </c>
      <c r="H342" s="194">
        <v>5660000</v>
      </c>
      <c r="I342" s="224"/>
      <c r="J342" s="225">
        <f t="shared" si="88"/>
        <v>12.000000000000011</v>
      </c>
      <c r="K342" s="210">
        <v>24</v>
      </c>
      <c r="L342" s="198">
        <f t="shared" si="87"/>
        <v>0.50000000000000044</v>
      </c>
      <c r="M342" s="194">
        <v>3065833.3333333302</v>
      </c>
      <c r="N342" s="199">
        <f t="shared" si="90"/>
        <v>235833.33333333334</v>
      </c>
      <c r="O342" s="200">
        <f t="shared" si="91"/>
        <v>141500</v>
      </c>
      <c r="P342" s="200"/>
      <c r="Q342" s="200">
        <f t="shared" si="89"/>
        <v>377333.33333333337</v>
      </c>
      <c r="R342" s="201">
        <f>'[1]NOV''25'!Q349+N342-V342</f>
        <v>0.33333333369228058</v>
      </c>
      <c r="S342" s="201">
        <f>'[1]NOV''25'!R349+O342-W342</f>
        <v>0</v>
      </c>
      <c r="T342" s="201">
        <f>'[1]NOV''25'!S349+P342-X342</f>
        <v>0</v>
      </c>
      <c r="U342" s="200">
        <f t="shared" si="86"/>
        <v>0.33333333369228058</v>
      </c>
      <c r="V342" s="202">
        <v>235833.33333333299</v>
      </c>
      <c r="W342" s="203">
        <v>141500</v>
      </c>
      <c r="X342" s="203"/>
      <c r="Y342" s="200">
        <f t="shared" si="92"/>
        <v>377333.33333333302</v>
      </c>
      <c r="Z342" s="207">
        <f t="shared" si="85"/>
        <v>2829999.9999999972</v>
      </c>
      <c r="AA342" s="96"/>
      <c r="AB342" s="96" t="e">
        <f>#REF!-#REF!</f>
        <v>#REF!</v>
      </c>
    </row>
    <row r="343" spans="2:28" s="55" customFormat="1" x14ac:dyDescent="0.3">
      <c r="B343" s="191">
        <v>213</v>
      </c>
      <c r="C343" s="192"/>
      <c r="D343" s="192"/>
      <c r="E343" s="208">
        <v>45636</v>
      </c>
      <c r="F343" s="192" t="s">
        <v>530</v>
      </c>
      <c r="G343" s="209" t="s">
        <v>38</v>
      </c>
      <c r="H343" s="194">
        <v>2000000</v>
      </c>
      <c r="I343" s="224"/>
      <c r="J343" s="225">
        <f t="shared" si="88"/>
        <v>12.000003999999993</v>
      </c>
      <c r="K343" s="210">
        <v>18</v>
      </c>
      <c r="L343" s="198">
        <f t="shared" si="87"/>
        <v>0.66666688888888848</v>
      </c>
      <c r="M343" s="194">
        <v>777777.33333333395</v>
      </c>
      <c r="N343" s="199">
        <f t="shared" si="90"/>
        <v>111111.11111111111</v>
      </c>
      <c r="O343" s="200">
        <f t="shared" si="91"/>
        <v>50000</v>
      </c>
      <c r="P343" s="200"/>
      <c r="Q343" s="200">
        <f t="shared" si="89"/>
        <v>161111.11111111112</v>
      </c>
      <c r="R343" s="201">
        <f>'[1]NOV''25'!Q350+N343-V343</f>
        <v>1.1641532182693481E-10</v>
      </c>
      <c r="S343" s="201">
        <f>'[1]NOV''25'!R350+O343-W343</f>
        <v>0</v>
      </c>
      <c r="T343" s="201">
        <f>'[1]NOV''25'!S350+P343-X343</f>
        <v>0</v>
      </c>
      <c r="U343" s="200">
        <f t="shared" si="86"/>
        <v>1.1641532182693481E-10</v>
      </c>
      <c r="V343" s="202">
        <v>111111.11111111099</v>
      </c>
      <c r="W343" s="203">
        <v>50000</v>
      </c>
      <c r="X343" s="203"/>
      <c r="Y343" s="200">
        <f t="shared" si="92"/>
        <v>161111.11111111101</v>
      </c>
      <c r="Z343" s="207">
        <f t="shared" si="85"/>
        <v>666666.22222222295</v>
      </c>
      <c r="AA343" s="96"/>
      <c r="AB343" s="96" t="e">
        <f>#REF!-#REF!</f>
        <v>#REF!</v>
      </c>
    </row>
    <row r="344" spans="2:28" s="55" customFormat="1" x14ac:dyDescent="0.3">
      <c r="B344" s="191">
        <v>214</v>
      </c>
      <c r="C344" s="192"/>
      <c r="D344" s="192"/>
      <c r="E344" s="208">
        <v>45636</v>
      </c>
      <c r="F344" s="192" t="s">
        <v>531</v>
      </c>
      <c r="G344" s="209" t="s">
        <v>239</v>
      </c>
      <c r="H344" s="194">
        <v>9000000</v>
      </c>
      <c r="I344" s="224"/>
      <c r="J344" s="225">
        <f t="shared" si="88"/>
        <v>12.006666666666666</v>
      </c>
      <c r="K344" s="210">
        <v>24</v>
      </c>
      <c r="L344" s="198">
        <f t="shared" si="87"/>
        <v>0.50027777777777771</v>
      </c>
      <c r="M344" s="194">
        <v>4872500</v>
      </c>
      <c r="N344" s="199">
        <f t="shared" si="90"/>
        <v>375000</v>
      </c>
      <c r="O344" s="200">
        <f t="shared" si="91"/>
        <v>225000</v>
      </c>
      <c r="P344" s="200"/>
      <c r="Q344" s="200">
        <f t="shared" si="89"/>
        <v>600000</v>
      </c>
      <c r="R344" s="201">
        <f>'[1]NOV''25'!Q351+N344-V344</f>
        <v>0</v>
      </c>
      <c r="S344" s="201">
        <f>'[1]NOV''25'!R351+O344-W344</f>
        <v>0</v>
      </c>
      <c r="T344" s="201">
        <f>'[1]NOV''25'!S351+P344-X344</f>
        <v>0</v>
      </c>
      <c r="U344" s="200">
        <f t="shared" si="86"/>
        <v>0</v>
      </c>
      <c r="V344" s="202">
        <v>375000</v>
      </c>
      <c r="W344" s="203">
        <v>225000</v>
      </c>
      <c r="X344" s="203"/>
      <c r="Y344" s="200">
        <f t="shared" si="92"/>
        <v>600000</v>
      </c>
      <c r="Z344" s="207">
        <f t="shared" ref="Z344:Z403" si="93">SUM(M344-V344)</f>
        <v>4497500</v>
      </c>
      <c r="AA344" s="96"/>
      <c r="AB344" s="96" t="e">
        <f>#REF!-#REF!</f>
        <v>#REF!</v>
      </c>
    </row>
    <row r="345" spans="2:28" s="55" customFormat="1" x14ac:dyDescent="0.3">
      <c r="B345" s="191">
        <v>215</v>
      </c>
      <c r="C345" s="192"/>
      <c r="D345" s="192"/>
      <c r="E345" s="208">
        <v>45636</v>
      </c>
      <c r="F345" s="192" t="s">
        <v>532</v>
      </c>
      <c r="G345" s="209" t="s">
        <v>282</v>
      </c>
      <c r="H345" s="194">
        <v>9050000</v>
      </c>
      <c r="I345" s="224"/>
      <c r="J345" s="225">
        <f t="shared" si="88"/>
        <v>11.999998232044188</v>
      </c>
      <c r="K345" s="266">
        <v>36</v>
      </c>
      <c r="L345" s="198">
        <f t="shared" si="87"/>
        <v>0.33333328422344966</v>
      </c>
      <c r="M345" s="194">
        <v>6284722.6666666698</v>
      </c>
      <c r="N345" s="199">
        <f t="shared" si="90"/>
        <v>251388.88888888888</v>
      </c>
      <c r="O345" s="200">
        <f t="shared" ref="O345:O350" si="94">SUM(H345*3/100)</f>
        <v>271500</v>
      </c>
      <c r="P345" s="200"/>
      <c r="Q345" s="200">
        <f t="shared" si="89"/>
        <v>522888.88888888888</v>
      </c>
      <c r="R345" s="201">
        <f>'[1]NOV''25'!Q352+N345-V345</f>
        <v>0</v>
      </c>
      <c r="S345" s="201">
        <f>'[1]NOV''25'!R352+O345-W345</f>
        <v>0</v>
      </c>
      <c r="T345" s="201">
        <f>'[1]NOV''25'!S352+P345-X345</f>
        <v>0</v>
      </c>
      <c r="U345" s="200">
        <f t="shared" si="86"/>
        <v>0</v>
      </c>
      <c r="V345" s="202">
        <v>251388.88888888899</v>
      </c>
      <c r="W345" s="203">
        <v>271500</v>
      </c>
      <c r="X345" s="203"/>
      <c r="Y345" s="200">
        <f t="shared" si="92"/>
        <v>522888.88888888899</v>
      </c>
      <c r="Z345" s="207">
        <f t="shared" si="93"/>
        <v>6033333.7777777808</v>
      </c>
      <c r="AA345" s="96"/>
      <c r="AB345" s="96" t="e">
        <f>#REF!-#REF!</f>
        <v>#REF!</v>
      </c>
    </row>
    <row r="346" spans="2:28" s="55" customFormat="1" x14ac:dyDescent="0.3">
      <c r="B346" s="191">
        <v>216</v>
      </c>
      <c r="C346" s="192"/>
      <c r="D346" s="192"/>
      <c r="E346" s="208">
        <v>45637</v>
      </c>
      <c r="F346" s="192" t="s">
        <v>533</v>
      </c>
      <c r="G346" s="209" t="s">
        <v>282</v>
      </c>
      <c r="H346" s="194">
        <v>12180000</v>
      </c>
      <c r="I346" s="224"/>
      <c r="J346" s="225">
        <f t="shared" si="88"/>
        <v>12.000000000000009</v>
      </c>
      <c r="K346" s="266">
        <v>36</v>
      </c>
      <c r="L346" s="198">
        <f t="shared" si="87"/>
        <v>0.33333333333333359</v>
      </c>
      <c r="M346" s="194">
        <v>8458333.3333333302</v>
      </c>
      <c r="N346" s="199">
        <f t="shared" si="90"/>
        <v>338333.33333333331</v>
      </c>
      <c r="O346" s="200">
        <f t="shared" si="94"/>
        <v>365400</v>
      </c>
      <c r="P346" s="200"/>
      <c r="Q346" s="200">
        <f t="shared" si="89"/>
        <v>703733.33333333326</v>
      </c>
      <c r="R346" s="201">
        <f>'[1]NOV''25'!Q353+N346-V346</f>
        <v>0.33333333360496908</v>
      </c>
      <c r="S346" s="201">
        <f>'[1]NOV''25'!R353+O346-W346</f>
        <v>0</v>
      </c>
      <c r="T346" s="201">
        <f>'[1]NOV''25'!S353+P346-X346</f>
        <v>0</v>
      </c>
      <c r="U346" s="200">
        <f t="shared" si="86"/>
        <v>0.33333333360496908</v>
      </c>
      <c r="V346" s="202">
        <v>338333.33333333302</v>
      </c>
      <c r="W346" s="203">
        <v>365400</v>
      </c>
      <c r="X346" s="203"/>
      <c r="Y346" s="200">
        <f t="shared" si="92"/>
        <v>703733.33333333302</v>
      </c>
      <c r="Z346" s="207">
        <f t="shared" si="93"/>
        <v>8119999.9999999972</v>
      </c>
      <c r="AA346" s="96"/>
      <c r="AB346" s="96" t="e">
        <f>#REF!-#REF!</f>
        <v>#REF!</v>
      </c>
    </row>
    <row r="347" spans="2:28" s="55" customFormat="1" x14ac:dyDescent="0.3">
      <c r="B347" s="191">
        <v>217</v>
      </c>
      <c r="C347" s="192"/>
      <c r="D347" s="192"/>
      <c r="E347" s="208">
        <v>45637</v>
      </c>
      <c r="F347" s="192" t="s">
        <v>534</v>
      </c>
      <c r="G347" s="209" t="s">
        <v>282</v>
      </c>
      <c r="H347" s="194">
        <v>9390000</v>
      </c>
      <c r="I347" s="224"/>
      <c r="J347" s="225">
        <f t="shared" si="88"/>
        <v>12.00000127795527</v>
      </c>
      <c r="K347" s="266">
        <v>36</v>
      </c>
      <c r="L347" s="198">
        <f t="shared" si="87"/>
        <v>0.33333336883209086</v>
      </c>
      <c r="M347" s="194">
        <v>6520833</v>
      </c>
      <c r="N347" s="199">
        <f t="shared" si="90"/>
        <v>260833.33333333334</v>
      </c>
      <c r="O347" s="200">
        <f t="shared" si="94"/>
        <v>281700</v>
      </c>
      <c r="P347" s="200"/>
      <c r="Q347" s="200">
        <f t="shared" si="89"/>
        <v>542533.33333333337</v>
      </c>
      <c r="R347" s="201">
        <f>'[1]NOV''25'!Q354+N347-V347</f>
        <v>3.4924596548080444E-10</v>
      </c>
      <c r="S347" s="201">
        <f>'[1]NOV''25'!R354+O347-W347</f>
        <v>0</v>
      </c>
      <c r="T347" s="201">
        <f>'[1]NOV''25'!S354+P347-X347</f>
        <v>0</v>
      </c>
      <c r="U347" s="200">
        <f t="shared" si="86"/>
        <v>3.4924596548080444E-10</v>
      </c>
      <c r="V347" s="202">
        <v>260833.33333333299</v>
      </c>
      <c r="W347" s="203">
        <v>281700</v>
      </c>
      <c r="X347" s="203"/>
      <c r="Y347" s="200">
        <f t="shared" si="92"/>
        <v>542533.33333333302</v>
      </c>
      <c r="Z347" s="207">
        <f t="shared" si="93"/>
        <v>6259999.666666667</v>
      </c>
      <c r="AA347" s="96"/>
      <c r="AB347" s="96" t="e">
        <f>#REF!-#REF!</f>
        <v>#REF!</v>
      </c>
    </row>
    <row r="348" spans="2:28" s="55" customFormat="1" x14ac:dyDescent="0.3">
      <c r="B348" s="191">
        <v>218</v>
      </c>
      <c r="C348" s="192"/>
      <c r="D348" s="192"/>
      <c r="E348" s="208">
        <v>45638</v>
      </c>
      <c r="F348" s="192" t="s">
        <v>535</v>
      </c>
      <c r="G348" s="209" t="s">
        <v>106</v>
      </c>
      <c r="H348" s="194">
        <v>6800000</v>
      </c>
      <c r="I348" s="224"/>
      <c r="J348" s="225">
        <f t="shared" si="88"/>
        <v>11.999997647058809</v>
      </c>
      <c r="K348" s="266">
        <v>36</v>
      </c>
      <c r="L348" s="198">
        <f t="shared" si="87"/>
        <v>0.33333326797385582</v>
      </c>
      <c r="M348" s="194">
        <v>4722222.6666666698</v>
      </c>
      <c r="N348" s="199">
        <f t="shared" si="90"/>
        <v>188888.88888888888</v>
      </c>
      <c r="O348" s="200">
        <f t="shared" si="94"/>
        <v>204000</v>
      </c>
      <c r="P348" s="200"/>
      <c r="Q348" s="200">
        <f t="shared" si="89"/>
        <v>392888.88888888888</v>
      </c>
      <c r="R348" s="201">
        <f>'[1]NOV''25'!Q355+N348-V348</f>
        <v>0</v>
      </c>
      <c r="S348" s="201">
        <f>'[1]NOV''25'!R355+O348-W348</f>
        <v>0</v>
      </c>
      <c r="T348" s="201">
        <f>'[1]NOV''25'!S355+P348-X348</f>
        <v>0</v>
      </c>
      <c r="U348" s="200">
        <f t="shared" si="86"/>
        <v>0</v>
      </c>
      <c r="V348" s="202">
        <v>188888.88888888899</v>
      </c>
      <c r="W348" s="203">
        <v>204000</v>
      </c>
      <c r="X348" s="203"/>
      <c r="Y348" s="200">
        <f t="shared" si="92"/>
        <v>392888.88888888899</v>
      </c>
      <c r="Z348" s="207">
        <f t="shared" si="93"/>
        <v>4533333.7777777808</v>
      </c>
      <c r="AA348" s="96"/>
      <c r="AB348" s="96" t="e">
        <f>#REF!-#REF!</f>
        <v>#REF!</v>
      </c>
    </row>
    <row r="349" spans="2:28" s="55" customFormat="1" x14ac:dyDescent="0.3">
      <c r="B349" s="191">
        <v>219</v>
      </c>
      <c r="C349" s="192"/>
      <c r="D349" s="192"/>
      <c r="E349" s="208">
        <v>45638</v>
      </c>
      <c r="F349" s="192" t="s">
        <v>536</v>
      </c>
      <c r="G349" s="209" t="s">
        <v>537</v>
      </c>
      <c r="H349" s="194">
        <v>11500000</v>
      </c>
      <c r="I349" s="224"/>
      <c r="J349" s="225">
        <f t="shared" si="88"/>
        <v>11.999999304347806</v>
      </c>
      <c r="K349" s="266">
        <v>36</v>
      </c>
      <c r="L349" s="198">
        <f t="shared" si="87"/>
        <v>0.33333331400966126</v>
      </c>
      <c r="M349" s="194">
        <v>7986111.3333333395</v>
      </c>
      <c r="N349" s="199">
        <f t="shared" si="90"/>
        <v>319444.44444444444</v>
      </c>
      <c r="O349" s="200">
        <f t="shared" si="94"/>
        <v>345000</v>
      </c>
      <c r="P349" s="200"/>
      <c r="Q349" s="200">
        <f t="shared" si="89"/>
        <v>664444.4444444445</v>
      </c>
      <c r="R349" s="201">
        <f>'[1]NOV''25'!Q356+N349-V349</f>
        <v>9.3132257461547852E-10</v>
      </c>
      <c r="S349" s="201">
        <f>'[1]NOV''25'!R356+O349-W349</f>
        <v>0</v>
      </c>
      <c r="T349" s="201">
        <f>'[1]NOV''25'!S356+P349-X349</f>
        <v>0</v>
      </c>
      <c r="U349" s="200">
        <f t="shared" si="86"/>
        <v>9.3132257461547852E-10</v>
      </c>
      <c r="V349" s="202">
        <v>319444.44444444397</v>
      </c>
      <c r="W349" s="203">
        <v>345000</v>
      </c>
      <c r="X349" s="203"/>
      <c r="Y349" s="200">
        <f t="shared" si="92"/>
        <v>664444.44444444403</v>
      </c>
      <c r="Z349" s="207">
        <f t="shared" si="93"/>
        <v>7666666.8888888955</v>
      </c>
      <c r="AA349" s="96"/>
      <c r="AB349" s="96" t="e">
        <f>#REF!-#REF!</f>
        <v>#REF!</v>
      </c>
    </row>
    <row r="350" spans="2:28" s="55" customFormat="1" x14ac:dyDescent="0.3">
      <c r="B350" s="191">
        <v>220</v>
      </c>
      <c r="C350" s="192"/>
      <c r="D350" s="192"/>
      <c r="E350" s="208">
        <v>45642</v>
      </c>
      <c r="F350" s="192" t="s">
        <v>538</v>
      </c>
      <c r="G350" s="209" t="s">
        <v>537</v>
      </c>
      <c r="H350" s="194">
        <v>5000000</v>
      </c>
      <c r="I350" s="224"/>
      <c r="J350" s="225">
        <f t="shared" si="88"/>
        <v>11.99999679999998</v>
      </c>
      <c r="K350" s="266">
        <v>36</v>
      </c>
      <c r="L350" s="198">
        <f t="shared" si="87"/>
        <v>0.3333332444444439</v>
      </c>
      <c r="M350" s="194">
        <v>3472222.6666666698</v>
      </c>
      <c r="N350" s="199">
        <f t="shared" si="90"/>
        <v>138888.88888888888</v>
      </c>
      <c r="O350" s="200">
        <f t="shared" si="94"/>
        <v>150000</v>
      </c>
      <c r="P350" s="200"/>
      <c r="Q350" s="200">
        <f t="shared" si="89"/>
        <v>288888.88888888888</v>
      </c>
      <c r="R350" s="201">
        <f>'[1]NOV''25'!Q357+N350-V350</f>
        <v>0</v>
      </c>
      <c r="S350" s="201">
        <f>'[1]NOV''25'!R357+O350-W350</f>
        <v>0</v>
      </c>
      <c r="T350" s="201">
        <f>'[1]NOV''25'!S357+P350-X350</f>
        <v>0</v>
      </c>
      <c r="U350" s="200">
        <f t="shared" si="86"/>
        <v>0</v>
      </c>
      <c r="V350" s="202">
        <v>138888.88888888899</v>
      </c>
      <c r="W350" s="203">
        <v>150000</v>
      </c>
      <c r="X350" s="203"/>
      <c r="Y350" s="200">
        <f t="shared" si="92"/>
        <v>288888.88888888899</v>
      </c>
      <c r="Z350" s="207">
        <f t="shared" si="93"/>
        <v>3333333.7777777808</v>
      </c>
      <c r="AA350" s="96"/>
      <c r="AB350" s="96" t="e">
        <f>#REF!-#REF!</f>
        <v>#REF!</v>
      </c>
    </row>
    <row r="351" spans="2:28" s="55" customFormat="1" x14ac:dyDescent="0.3">
      <c r="B351" s="191">
        <v>221</v>
      </c>
      <c r="C351" s="192"/>
      <c r="D351" s="192"/>
      <c r="E351" s="208">
        <v>45644</v>
      </c>
      <c r="F351" s="192" t="s">
        <v>539</v>
      </c>
      <c r="G351" s="209" t="s">
        <v>269</v>
      </c>
      <c r="H351" s="194">
        <v>10000000</v>
      </c>
      <c r="I351" s="224"/>
      <c r="J351" s="225">
        <f t="shared" si="88"/>
        <v>11.9999992</v>
      </c>
      <c r="K351" s="210">
        <v>24</v>
      </c>
      <c r="L351" s="198">
        <f t="shared" si="87"/>
        <v>0.49999996666666663</v>
      </c>
      <c r="M351" s="194">
        <v>5416667</v>
      </c>
      <c r="N351" s="199">
        <f t="shared" si="90"/>
        <v>416666.66666666669</v>
      </c>
      <c r="O351" s="200">
        <f>SUM(H351*2.5/100)</f>
        <v>250000</v>
      </c>
      <c r="P351" s="200"/>
      <c r="Q351" s="200">
        <f t="shared" si="89"/>
        <v>666666.66666666674</v>
      </c>
      <c r="R351" s="201">
        <f>'[1]NOV''25'!Q358+N351-V351</f>
        <v>0</v>
      </c>
      <c r="S351" s="201">
        <f>'[1]NOV''25'!R358+O351-W351</f>
        <v>0</v>
      </c>
      <c r="T351" s="201">
        <f>'[1]NOV''25'!S358+P351-X351</f>
        <v>0</v>
      </c>
      <c r="U351" s="200">
        <f t="shared" si="86"/>
        <v>0</v>
      </c>
      <c r="V351" s="202">
        <v>416666.66666666698</v>
      </c>
      <c r="W351" s="203">
        <v>250000</v>
      </c>
      <c r="X351" s="203"/>
      <c r="Y351" s="200">
        <f t="shared" si="92"/>
        <v>666666.66666666698</v>
      </c>
      <c r="Z351" s="207">
        <f t="shared" si="93"/>
        <v>5000000.333333333</v>
      </c>
      <c r="AA351" s="96"/>
      <c r="AB351" s="96" t="e">
        <f>#REF!-#REF!</f>
        <v>#REF!</v>
      </c>
    </row>
    <row r="352" spans="2:28" s="55" customFormat="1" x14ac:dyDescent="0.3">
      <c r="B352" s="191">
        <v>222</v>
      </c>
      <c r="C352" s="192"/>
      <c r="D352" s="192"/>
      <c r="E352" s="208">
        <v>45645</v>
      </c>
      <c r="F352" s="192" t="s">
        <v>540</v>
      </c>
      <c r="G352" s="209" t="s">
        <v>48</v>
      </c>
      <c r="H352" s="194">
        <v>8000000</v>
      </c>
      <c r="I352" s="224"/>
      <c r="J352" s="225">
        <f t="shared" si="88"/>
        <v>11.999999500000007</v>
      </c>
      <c r="K352" s="213">
        <v>18</v>
      </c>
      <c r="L352" s="198">
        <f t="shared" si="87"/>
        <v>0.66666663888888922</v>
      </c>
      <c r="M352" s="194">
        <v>3111111.3333333302</v>
      </c>
      <c r="N352" s="199">
        <f t="shared" si="90"/>
        <v>444444.44444444444</v>
      </c>
      <c r="O352" s="200">
        <f>SUM(H352*2.5/100)</f>
        <v>200000</v>
      </c>
      <c r="P352" s="200"/>
      <c r="Q352" s="200">
        <f t="shared" si="89"/>
        <v>644444.4444444445</v>
      </c>
      <c r="R352" s="201">
        <f>'[1]NOV''25'!Q359+N352-V352</f>
        <v>4.6566128730773926E-10</v>
      </c>
      <c r="S352" s="201">
        <f>'[1]NOV''25'!R359+O352-W352</f>
        <v>0</v>
      </c>
      <c r="T352" s="201">
        <f>'[1]NOV''25'!S359+P352-X352</f>
        <v>0</v>
      </c>
      <c r="U352" s="200">
        <f t="shared" si="86"/>
        <v>4.6566128730773926E-10</v>
      </c>
      <c r="V352" s="202">
        <v>444444.44444444397</v>
      </c>
      <c r="W352" s="203">
        <v>200000</v>
      </c>
      <c r="X352" s="203"/>
      <c r="Y352" s="200">
        <f t="shared" si="92"/>
        <v>644444.44444444403</v>
      </c>
      <c r="Z352" s="207">
        <f t="shared" si="93"/>
        <v>2666666.8888888862</v>
      </c>
      <c r="AA352" s="96"/>
      <c r="AB352" s="96" t="e">
        <f>#REF!-#REF!</f>
        <v>#REF!</v>
      </c>
    </row>
    <row r="353" spans="2:28" s="55" customFormat="1" x14ac:dyDescent="0.3">
      <c r="B353" s="191">
        <v>223</v>
      </c>
      <c r="C353" s="192"/>
      <c r="D353" s="192"/>
      <c r="E353" s="208">
        <v>45645</v>
      </c>
      <c r="F353" s="192" t="s">
        <v>541</v>
      </c>
      <c r="G353" s="209" t="s">
        <v>542</v>
      </c>
      <c r="H353" s="194">
        <v>8500000</v>
      </c>
      <c r="I353" s="224"/>
      <c r="J353" s="225">
        <f t="shared" si="88"/>
        <v>12.000001882352953</v>
      </c>
      <c r="K353" s="213">
        <v>36</v>
      </c>
      <c r="L353" s="198">
        <f t="shared" si="87"/>
        <v>0.33333338562091536</v>
      </c>
      <c r="M353" s="194">
        <v>5902777.3333333302</v>
      </c>
      <c r="N353" s="199">
        <f t="shared" si="90"/>
        <v>236111.11111111112</v>
      </c>
      <c r="O353" s="200">
        <f>SUM(H353*3/100)</f>
        <v>255000</v>
      </c>
      <c r="P353" s="200"/>
      <c r="Q353" s="200">
        <f t="shared" si="89"/>
        <v>491111.11111111112</v>
      </c>
      <c r="R353" s="201">
        <f>'[1]NOV''25'!Q360+N353-V353</f>
        <v>0</v>
      </c>
      <c r="S353" s="201">
        <f>'[1]NOV''25'!R360+O353-W353</f>
        <v>0</v>
      </c>
      <c r="T353" s="201">
        <f>'[1]NOV''25'!S360+P353-X353</f>
        <v>0</v>
      </c>
      <c r="U353" s="200">
        <f t="shared" si="86"/>
        <v>0</v>
      </c>
      <c r="V353" s="202">
        <v>236111.11111111101</v>
      </c>
      <c r="W353" s="203">
        <v>255000</v>
      </c>
      <c r="X353" s="203"/>
      <c r="Y353" s="200">
        <f t="shared" si="92"/>
        <v>491111.11111111101</v>
      </c>
      <c r="Z353" s="207">
        <f t="shared" si="93"/>
        <v>5666666.2222222192</v>
      </c>
      <c r="AA353" s="96"/>
      <c r="AB353" s="96" t="e">
        <f>#REF!-#REF!</f>
        <v>#REF!</v>
      </c>
    </row>
    <row r="354" spans="2:28" s="55" customFormat="1" x14ac:dyDescent="0.3">
      <c r="B354" s="191">
        <v>224</v>
      </c>
      <c r="C354" s="192"/>
      <c r="D354" s="192"/>
      <c r="E354" s="208">
        <v>45645</v>
      </c>
      <c r="F354" s="192" t="s">
        <v>543</v>
      </c>
      <c r="G354" s="209" t="s">
        <v>239</v>
      </c>
      <c r="H354" s="194">
        <v>8000000</v>
      </c>
      <c r="I354" s="224"/>
      <c r="J354" s="225">
        <f t="shared" si="88"/>
        <v>12.000000999999999</v>
      </c>
      <c r="K354" s="213">
        <v>24</v>
      </c>
      <c r="L354" s="198">
        <f t="shared" si="87"/>
        <v>0.50000004166666667</v>
      </c>
      <c r="M354" s="194">
        <v>4333333</v>
      </c>
      <c r="N354" s="199">
        <f t="shared" si="90"/>
        <v>333333.33333333331</v>
      </c>
      <c r="O354" s="200">
        <f>SUM(H354*2.5/100)</f>
        <v>200000</v>
      </c>
      <c r="P354" s="200"/>
      <c r="Q354" s="200">
        <f t="shared" si="89"/>
        <v>533333.33333333326</v>
      </c>
      <c r="R354" s="201">
        <f>'[1]NOV''25'!Q361+N354-V354</f>
        <v>0</v>
      </c>
      <c r="S354" s="201">
        <f>'[1]NOV''25'!R361+O354-W354</f>
        <v>0</v>
      </c>
      <c r="T354" s="201">
        <f>'[1]NOV''25'!S361+P354-X354</f>
        <v>0</v>
      </c>
      <c r="U354" s="200">
        <f t="shared" si="86"/>
        <v>0</v>
      </c>
      <c r="V354" s="202">
        <v>333333.33333333302</v>
      </c>
      <c r="W354" s="203">
        <v>200000</v>
      </c>
      <c r="X354" s="203"/>
      <c r="Y354" s="200">
        <f t="shared" si="92"/>
        <v>533333.33333333302</v>
      </c>
      <c r="Z354" s="207">
        <f t="shared" si="93"/>
        <v>3999999.666666667</v>
      </c>
      <c r="AA354" s="96"/>
      <c r="AB354" s="96" t="e">
        <f>#REF!-#REF!</f>
        <v>#REF!</v>
      </c>
    </row>
    <row r="355" spans="2:28" s="55" customFormat="1" x14ac:dyDescent="0.3">
      <c r="B355" s="191">
        <v>225</v>
      </c>
      <c r="C355" s="192"/>
      <c r="D355" s="192"/>
      <c r="E355" s="208">
        <v>45647</v>
      </c>
      <c r="F355" s="192" t="s">
        <v>544</v>
      </c>
      <c r="G355" s="209" t="s">
        <v>239</v>
      </c>
      <c r="H355" s="194">
        <v>4000000</v>
      </c>
      <c r="I355" s="224"/>
      <c r="J355" s="225">
        <f t="shared" si="88"/>
        <v>12.00000300000004</v>
      </c>
      <c r="K355" s="210">
        <v>36</v>
      </c>
      <c r="L355" s="198">
        <f t="shared" si="87"/>
        <v>0.33333341666666777</v>
      </c>
      <c r="M355" s="194">
        <v>2777777.4444444398</v>
      </c>
      <c r="N355" s="199">
        <f t="shared" si="90"/>
        <v>111111.11111111111</v>
      </c>
      <c r="O355" s="200">
        <f>SUM(H355*3/100)</f>
        <v>120000</v>
      </c>
      <c r="P355" s="200"/>
      <c r="Q355" s="200">
        <f t="shared" si="89"/>
        <v>231111.11111111112</v>
      </c>
      <c r="R355" s="201">
        <f>'[1]NOV''25'!Q362+N355-V355</f>
        <v>0.11111111122590955</v>
      </c>
      <c r="S355" s="201">
        <f>'[1]NOV''25'!R362+O355-W355</f>
        <v>0</v>
      </c>
      <c r="T355" s="201">
        <f>'[1]NOV''25'!S362+P355-X355</f>
        <v>0</v>
      </c>
      <c r="U355" s="200">
        <f t="shared" si="86"/>
        <v>0.11111111122590955</v>
      </c>
      <c r="V355" s="202">
        <v>111111.11111111099</v>
      </c>
      <c r="W355" s="203">
        <v>120000</v>
      </c>
      <c r="X355" s="203"/>
      <c r="Y355" s="200">
        <f t="shared" si="92"/>
        <v>231111.11111111101</v>
      </c>
      <c r="Z355" s="207">
        <f t="shared" si="93"/>
        <v>2666666.3333333288</v>
      </c>
      <c r="AA355" s="96"/>
      <c r="AB355" s="96" t="e">
        <f>#REF!-#REF!</f>
        <v>#REF!</v>
      </c>
    </row>
    <row r="356" spans="2:28" s="55" customFormat="1" x14ac:dyDescent="0.3">
      <c r="B356" s="191">
        <v>226</v>
      </c>
      <c r="C356" s="192"/>
      <c r="D356" s="192"/>
      <c r="E356" s="208">
        <v>45649</v>
      </c>
      <c r="F356" s="192" t="s">
        <v>545</v>
      </c>
      <c r="G356" s="209" t="s">
        <v>38</v>
      </c>
      <c r="H356" s="194">
        <v>9000000</v>
      </c>
      <c r="I356" s="224"/>
      <c r="J356" s="225">
        <f t="shared" si="88"/>
        <v>12</v>
      </c>
      <c r="K356" s="213">
        <v>24</v>
      </c>
      <c r="L356" s="198">
        <f t="shared" si="87"/>
        <v>0.5</v>
      </c>
      <c r="M356" s="194">
        <v>4875000</v>
      </c>
      <c r="N356" s="199">
        <f t="shared" si="90"/>
        <v>375000</v>
      </c>
      <c r="O356" s="200">
        <f>SUM(H356*2.5/100)</f>
        <v>225000</v>
      </c>
      <c r="P356" s="200"/>
      <c r="Q356" s="200">
        <f t="shared" si="89"/>
        <v>600000</v>
      </c>
      <c r="R356" s="201">
        <f>'[1]NOV''25'!Q363+N356-V356</f>
        <v>0</v>
      </c>
      <c r="S356" s="201">
        <f>'[1]NOV''25'!R363+O356-W356</f>
        <v>0</v>
      </c>
      <c r="T356" s="201">
        <f>'[1]NOV''25'!S363+P356-X356</f>
        <v>0</v>
      </c>
      <c r="U356" s="200">
        <f t="shared" si="86"/>
        <v>0</v>
      </c>
      <c r="V356" s="202">
        <v>375000</v>
      </c>
      <c r="W356" s="203">
        <v>225000</v>
      </c>
      <c r="X356" s="203"/>
      <c r="Y356" s="200">
        <f t="shared" si="92"/>
        <v>600000</v>
      </c>
      <c r="Z356" s="207">
        <f t="shared" si="93"/>
        <v>4500000</v>
      </c>
      <c r="AA356" s="96"/>
      <c r="AB356" s="96" t="e">
        <f>#REF!-#REF!</f>
        <v>#REF!</v>
      </c>
    </row>
    <row r="357" spans="2:28" s="265" customFormat="1" x14ac:dyDescent="0.3">
      <c r="B357" s="250">
        <v>227</v>
      </c>
      <c r="C357" s="251"/>
      <c r="D357" s="251"/>
      <c r="E357" s="252">
        <v>45649</v>
      </c>
      <c r="F357" s="251" t="s">
        <v>546</v>
      </c>
      <c r="G357" s="253" t="s">
        <v>33</v>
      </c>
      <c r="H357" s="254">
        <v>5000000</v>
      </c>
      <c r="I357" s="255"/>
      <c r="J357" s="256">
        <f t="shared" si="88"/>
        <v>12.000001599999997</v>
      </c>
      <c r="K357" s="267">
        <v>24</v>
      </c>
      <c r="L357" s="258">
        <f t="shared" si="87"/>
        <v>0.50000006666666652</v>
      </c>
      <c r="M357" s="194">
        <v>2708333</v>
      </c>
      <c r="N357" s="259">
        <f t="shared" si="90"/>
        <v>208333.33333333334</v>
      </c>
      <c r="O357" s="260">
        <f>SUM(H357*2.5/100)</f>
        <v>125000</v>
      </c>
      <c r="P357" s="260"/>
      <c r="Q357" s="260">
        <f t="shared" si="89"/>
        <v>333333.33333333337</v>
      </c>
      <c r="R357" s="201">
        <f>'[1]NOV''25'!Q364+N357-V357</f>
        <v>3.4924596548080444E-10</v>
      </c>
      <c r="S357" s="201">
        <f>'[1]NOV''25'!R364+O357-W357</f>
        <v>0</v>
      </c>
      <c r="T357" s="201">
        <f>'[1]NOV''25'!S364+P357-X357</f>
        <v>0</v>
      </c>
      <c r="U357" s="200">
        <f t="shared" si="86"/>
        <v>3.4924596548080444E-10</v>
      </c>
      <c r="V357" s="261">
        <v>208333.33333333299</v>
      </c>
      <c r="W357" s="262">
        <v>125000</v>
      </c>
      <c r="X357" s="262"/>
      <c r="Y357" s="200">
        <f t="shared" si="92"/>
        <v>333333.33333333302</v>
      </c>
      <c r="Z357" s="263">
        <f t="shared" si="93"/>
        <v>2499999.666666667</v>
      </c>
      <c r="AA357" s="96" t="s">
        <v>547</v>
      </c>
      <c r="AB357" s="96" t="e">
        <f>#REF!-#REF!</f>
        <v>#REF!</v>
      </c>
    </row>
    <row r="358" spans="2:28" s="55" customFormat="1" x14ac:dyDescent="0.3">
      <c r="B358" s="191">
        <v>228</v>
      </c>
      <c r="C358" s="192"/>
      <c r="D358" s="192"/>
      <c r="E358" s="208">
        <v>45650</v>
      </c>
      <c r="F358" s="192" t="s">
        <v>548</v>
      </c>
      <c r="G358" s="209" t="s">
        <v>542</v>
      </c>
      <c r="H358" s="194">
        <v>9000000</v>
      </c>
      <c r="I358" s="224"/>
      <c r="J358" s="225">
        <f t="shared" si="88"/>
        <v>10</v>
      </c>
      <c r="K358" s="213">
        <v>24</v>
      </c>
      <c r="L358" s="198">
        <f t="shared" si="87"/>
        <v>0.41666666666666669</v>
      </c>
      <c r="M358" s="194">
        <v>5250000</v>
      </c>
      <c r="N358" s="199">
        <f t="shared" si="90"/>
        <v>375000</v>
      </c>
      <c r="O358" s="200">
        <f>SUM(H358*2.5/100)</f>
        <v>225000</v>
      </c>
      <c r="P358" s="200"/>
      <c r="Q358" s="200">
        <f t="shared" si="89"/>
        <v>600000</v>
      </c>
      <c r="R358" s="201">
        <f>'[1]NOV''25'!Q365+N358-V358</f>
        <v>750000</v>
      </c>
      <c r="S358" s="201">
        <f>'[1]NOV''25'!R365+O358-W358</f>
        <v>450000</v>
      </c>
      <c r="T358" s="201">
        <f>'[1]NOV''25'!S365+P358-X358</f>
        <v>0</v>
      </c>
      <c r="U358" s="200">
        <f t="shared" si="86"/>
        <v>1200000</v>
      </c>
      <c r="V358" s="202"/>
      <c r="W358" s="203"/>
      <c r="X358" s="203"/>
      <c r="Y358" s="200">
        <f t="shared" si="92"/>
        <v>0</v>
      </c>
      <c r="Z358" s="207">
        <f t="shared" si="93"/>
        <v>5250000</v>
      </c>
      <c r="AA358" s="96" t="s">
        <v>455</v>
      </c>
      <c r="AB358" s="96" t="e">
        <f>#REF!-#REF!</f>
        <v>#REF!</v>
      </c>
    </row>
    <row r="359" spans="2:28" s="55" customFormat="1" x14ac:dyDescent="0.3">
      <c r="B359" s="191">
        <v>229</v>
      </c>
      <c r="C359" s="192"/>
      <c r="D359" s="192"/>
      <c r="E359" s="208">
        <v>45656</v>
      </c>
      <c r="F359" s="192" t="s">
        <v>549</v>
      </c>
      <c r="G359" s="209" t="s">
        <v>53</v>
      </c>
      <c r="H359" s="194">
        <v>11300000</v>
      </c>
      <c r="I359" s="224"/>
      <c r="J359" s="225">
        <f t="shared" si="88"/>
        <v>11.999999646017681</v>
      </c>
      <c r="K359" s="268">
        <v>36</v>
      </c>
      <c r="L359" s="198">
        <f t="shared" si="87"/>
        <v>0.33333332350049116</v>
      </c>
      <c r="M359" s="194">
        <v>7847222.3333333395</v>
      </c>
      <c r="N359" s="199">
        <f t="shared" si="90"/>
        <v>313888.88888888888</v>
      </c>
      <c r="O359" s="200">
        <f>SUM(H359*3/100)</f>
        <v>339000</v>
      </c>
      <c r="P359" s="200"/>
      <c r="Q359" s="200">
        <f t="shared" si="89"/>
        <v>652888.88888888888</v>
      </c>
      <c r="R359" s="201">
        <f>'[1]NOV''25'!Q366+N359-V359</f>
        <v>-0.33333333348855376</v>
      </c>
      <c r="S359" s="201">
        <f>'[1]NOV''25'!R366+O359-W359</f>
        <v>0</v>
      </c>
      <c r="T359" s="201">
        <f>'[1]NOV''25'!S366+P359-X359</f>
        <v>0</v>
      </c>
      <c r="U359" s="200">
        <f t="shared" si="86"/>
        <v>-0.33333333348855376</v>
      </c>
      <c r="V359" s="202">
        <v>313888.88888888899</v>
      </c>
      <c r="W359" s="203">
        <v>339000</v>
      </c>
      <c r="X359" s="203"/>
      <c r="Y359" s="200">
        <f t="shared" si="92"/>
        <v>652888.88888888899</v>
      </c>
      <c r="Z359" s="207">
        <f t="shared" si="93"/>
        <v>7533333.4444444505</v>
      </c>
      <c r="AA359" s="96"/>
      <c r="AB359" s="96" t="e">
        <f>#REF!-#REF!</f>
        <v>#REF!</v>
      </c>
    </row>
    <row r="360" spans="2:28" s="55" customFormat="1" x14ac:dyDescent="0.3">
      <c r="B360" s="191">
        <v>230</v>
      </c>
      <c r="C360" s="192"/>
      <c r="D360" s="192"/>
      <c r="E360" s="208">
        <v>45656</v>
      </c>
      <c r="F360" s="192" t="s">
        <v>550</v>
      </c>
      <c r="G360" s="209" t="s">
        <v>282</v>
      </c>
      <c r="H360" s="194">
        <v>8300000</v>
      </c>
      <c r="I360" s="224"/>
      <c r="J360" s="225">
        <f t="shared" si="88"/>
        <v>12.000000963855451</v>
      </c>
      <c r="K360" s="268">
        <v>36</v>
      </c>
      <c r="L360" s="198">
        <f t="shared" si="87"/>
        <v>0.33333336010709586</v>
      </c>
      <c r="M360" s="194">
        <v>5763888.6666666605</v>
      </c>
      <c r="N360" s="199">
        <f t="shared" si="90"/>
        <v>230555.55555555556</v>
      </c>
      <c r="O360" s="200">
        <f>SUM(H360*3/100)</f>
        <v>249000</v>
      </c>
      <c r="P360" s="200"/>
      <c r="Q360" s="200">
        <f t="shared" si="89"/>
        <v>479555.55555555556</v>
      </c>
      <c r="R360" s="201">
        <f>'[1]NOV''25'!Q367+N360-V360</f>
        <v>-4.3655745685100555E-10</v>
      </c>
      <c r="S360" s="201">
        <f>'[1]NOV''25'!R367+O360-W360</f>
        <v>0</v>
      </c>
      <c r="T360" s="201">
        <f>'[1]NOV''25'!S367+P360-X360</f>
        <v>0</v>
      </c>
      <c r="U360" s="200">
        <f t="shared" si="86"/>
        <v>-4.3655745685100555E-10</v>
      </c>
      <c r="V360" s="202">
        <v>230555.555555556</v>
      </c>
      <c r="W360" s="203">
        <v>249000</v>
      </c>
      <c r="X360" s="203"/>
      <c r="Y360" s="200">
        <f t="shared" si="92"/>
        <v>479555.55555555597</v>
      </c>
      <c r="Z360" s="207">
        <f t="shared" si="93"/>
        <v>5533333.1111111045</v>
      </c>
      <c r="AA360" s="96"/>
      <c r="AB360" s="96" t="e">
        <f>#REF!-#REF!</f>
        <v>#REF!</v>
      </c>
    </row>
    <row r="361" spans="2:28" s="55" customFormat="1" x14ac:dyDescent="0.3">
      <c r="B361" s="191">
        <v>231</v>
      </c>
      <c r="C361" s="192"/>
      <c r="D361" s="192"/>
      <c r="E361" s="208">
        <v>45656</v>
      </c>
      <c r="F361" s="192" t="s">
        <v>551</v>
      </c>
      <c r="G361" s="209" t="s">
        <v>38</v>
      </c>
      <c r="H361" s="194">
        <v>2970000</v>
      </c>
      <c r="I361" s="224"/>
      <c r="J361" s="225">
        <f t="shared" si="88"/>
        <v>12</v>
      </c>
      <c r="K361" s="213">
        <v>24</v>
      </c>
      <c r="L361" s="198">
        <f t="shared" si="87"/>
        <v>0.5</v>
      </c>
      <c r="M361" s="194">
        <v>1608750</v>
      </c>
      <c r="N361" s="199">
        <f t="shared" si="90"/>
        <v>123750</v>
      </c>
      <c r="O361" s="200">
        <f>SUM(H361*2.5/100)</f>
        <v>74250</v>
      </c>
      <c r="P361" s="200"/>
      <c r="Q361" s="200">
        <f t="shared" si="89"/>
        <v>198000</v>
      </c>
      <c r="R361" s="201">
        <f>'[1]NOV''25'!Q368+N361-V361</f>
        <v>0</v>
      </c>
      <c r="S361" s="201">
        <f>'[1]NOV''25'!R368+O361-W361</f>
        <v>0</v>
      </c>
      <c r="T361" s="201">
        <f>'[1]NOV''25'!S368+P361-X361</f>
        <v>0</v>
      </c>
      <c r="U361" s="200">
        <f t="shared" si="86"/>
        <v>0</v>
      </c>
      <c r="V361" s="202">
        <v>123750</v>
      </c>
      <c r="W361" s="203">
        <v>74250</v>
      </c>
      <c r="X361" s="203"/>
      <c r="Y361" s="200">
        <f t="shared" si="92"/>
        <v>198000</v>
      </c>
      <c r="Z361" s="207">
        <f t="shared" si="93"/>
        <v>1485000</v>
      </c>
      <c r="AA361" s="96"/>
      <c r="AB361" s="96" t="e">
        <f>#REF!-#REF!</f>
        <v>#REF!</v>
      </c>
    </row>
    <row r="362" spans="2:28" s="55" customFormat="1" x14ac:dyDescent="0.3">
      <c r="B362" s="191">
        <v>232</v>
      </c>
      <c r="C362" s="192"/>
      <c r="D362" s="192"/>
      <c r="E362" s="208">
        <v>45659</v>
      </c>
      <c r="F362" s="192" t="s">
        <v>552</v>
      </c>
      <c r="G362" s="209" t="s">
        <v>553</v>
      </c>
      <c r="H362" s="194">
        <v>3200000</v>
      </c>
      <c r="I362" s="224"/>
      <c r="J362" s="225">
        <f t="shared" si="88"/>
        <v>11.000004999999966</v>
      </c>
      <c r="K362" s="268">
        <v>36</v>
      </c>
      <c r="L362" s="198">
        <f t="shared" si="87"/>
        <v>0.30555569444444353</v>
      </c>
      <c r="M362" s="194">
        <v>2311110.6666666698</v>
      </c>
      <c r="N362" s="199">
        <f t="shared" si="90"/>
        <v>88888.888888888891</v>
      </c>
      <c r="O362" s="200">
        <f>SUM(H362*3/100)</f>
        <v>96000</v>
      </c>
      <c r="P362" s="200"/>
      <c r="Q362" s="200">
        <f t="shared" si="89"/>
        <v>184888.88888888888</v>
      </c>
      <c r="R362" s="201">
        <f>'[1]NOV''25'!Q369+N362-V362</f>
        <v>0</v>
      </c>
      <c r="S362" s="201">
        <f>'[1]NOV''25'!R369+O362-W362</f>
        <v>0</v>
      </c>
      <c r="T362" s="201">
        <f>'[1]NOV''25'!S369+P362-X362</f>
        <v>0</v>
      </c>
      <c r="U362" s="200">
        <f t="shared" si="86"/>
        <v>0</v>
      </c>
      <c r="V362" s="202">
        <v>88888.888888888905</v>
      </c>
      <c r="W362" s="203">
        <v>96000</v>
      </c>
      <c r="X362" s="203"/>
      <c r="Y362" s="200">
        <f t="shared" si="92"/>
        <v>184888.88888888891</v>
      </c>
      <c r="Z362" s="207">
        <f t="shared" si="93"/>
        <v>2222221.7777777808</v>
      </c>
      <c r="AA362" s="96"/>
      <c r="AB362" s="96" t="e">
        <f>#REF!-#REF!</f>
        <v>#REF!</v>
      </c>
    </row>
    <row r="363" spans="2:28" s="55" customFormat="1" x14ac:dyDescent="0.3">
      <c r="B363" s="191">
        <v>233</v>
      </c>
      <c r="C363" s="192"/>
      <c r="D363" s="192"/>
      <c r="E363" s="208">
        <v>45659</v>
      </c>
      <c r="F363" s="192" t="s">
        <v>554</v>
      </c>
      <c r="G363" s="209" t="s">
        <v>38</v>
      </c>
      <c r="H363" s="194">
        <v>10000000</v>
      </c>
      <c r="I363" s="224"/>
      <c r="J363" s="225">
        <f t="shared" si="88"/>
        <v>10.999999600000013</v>
      </c>
      <c r="K363" s="268">
        <v>36</v>
      </c>
      <c r="L363" s="198">
        <f t="shared" si="87"/>
        <v>0.30555554444444483</v>
      </c>
      <c r="M363" s="194">
        <v>7222222.3333333302</v>
      </c>
      <c r="N363" s="199">
        <f t="shared" si="90"/>
        <v>277777.77777777775</v>
      </c>
      <c r="O363" s="200">
        <f>SUM(H363*3/100)</f>
        <v>300000</v>
      </c>
      <c r="P363" s="200"/>
      <c r="Q363" s="200">
        <f t="shared" si="89"/>
        <v>577777.77777777775</v>
      </c>
      <c r="R363" s="201">
        <f>'[1]NOV''25'!Q370+N363-V363</f>
        <v>0</v>
      </c>
      <c r="S363" s="201">
        <f>'[1]NOV''25'!R370+O363-W363</f>
        <v>0</v>
      </c>
      <c r="T363" s="201">
        <f>'[1]NOV''25'!S370+P363-X363</f>
        <v>0</v>
      </c>
      <c r="U363" s="200">
        <f t="shared" si="86"/>
        <v>0</v>
      </c>
      <c r="V363" s="202">
        <v>277777.77777777798</v>
      </c>
      <c r="W363" s="203">
        <v>300000</v>
      </c>
      <c r="X363" s="203"/>
      <c r="Y363" s="200">
        <f t="shared" si="92"/>
        <v>577777.77777777798</v>
      </c>
      <c r="Z363" s="207">
        <f t="shared" si="93"/>
        <v>6944444.5555555522</v>
      </c>
      <c r="AA363" s="96"/>
      <c r="AB363" s="96" t="e">
        <f>#REF!-#REF!</f>
        <v>#REF!</v>
      </c>
    </row>
    <row r="364" spans="2:28" s="55" customFormat="1" x14ac:dyDescent="0.3">
      <c r="B364" s="191">
        <v>234</v>
      </c>
      <c r="C364" s="192"/>
      <c r="D364" s="192"/>
      <c r="E364" s="208">
        <v>45660</v>
      </c>
      <c r="F364" s="192" t="s">
        <v>555</v>
      </c>
      <c r="G364" s="209" t="s">
        <v>117</v>
      </c>
      <c r="H364" s="194">
        <v>6030000</v>
      </c>
      <c r="I364" s="224"/>
      <c r="J364" s="225">
        <f t="shared" si="88"/>
        <v>9</v>
      </c>
      <c r="K364" s="268">
        <v>36</v>
      </c>
      <c r="L364" s="198">
        <f t="shared" si="87"/>
        <v>0.25</v>
      </c>
      <c r="M364" s="194">
        <v>4522500</v>
      </c>
      <c r="N364" s="199">
        <f t="shared" si="90"/>
        <v>167500</v>
      </c>
      <c r="O364" s="200">
        <f>SUM(H364*3/100)</f>
        <v>180900</v>
      </c>
      <c r="P364" s="200"/>
      <c r="Q364" s="200">
        <f t="shared" si="89"/>
        <v>348400</v>
      </c>
      <c r="R364" s="201">
        <f>'[1]NOV''25'!Q371+N364-V364</f>
        <v>335000</v>
      </c>
      <c r="S364" s="201">
        <f>'[1]NOV''25'!R371+O364-W364</f>
        <v>361800</v>
      </c>
      <c r="T364" s="201">
        <f>'[1]NOV''25'!S371+P364-X364</f>
        <v>0</v>
      </c>
      <c r="U364" s="200">
        <f t="shared" si="86"/>
        <v>696800</v>
      </c>
      <c r="V364" s="202"/>
      <c r="W364" s="203"/>
      <c r="X364" s="203"/>
      <c r="Y364" s="200">
        <f t="shared" si="92"/>
        <v>0</v>
      </c>
      <c r="Z364" s="207">
        <f t="shared" si="93"/>
        <v>4522500</v>
      </c>
      <c r="AA364" s="96" t="s">
        <v>455</v>
      </c>
      <c r="AB364" s="96" t="e">
        <f>#REF!-#REF!</f>
        <v>#REF!</v>
      </c>
    </row>
    <row r="365" spans="2:28" s="55" customFormat="1" x14ac:dyDescent="0.3">
      <c r="B365" s="191">
        <v>235</v>
      </c>
      <c r="C365" s="192"/>
      <c r="D365" s="192"/>
      <c r="E365" s="208">
        <v>45660</v>
      </c>
      <c r="F365" s="192" t="s">
        <v>556</v>
      </c>
      <c r="G365" s="209" t="s">
        <v>117</v>
      </c>
      <c r="H365" s="194">
        <v>7120000</v>
      </c>
      <c r="I365" s="224"/>
      <c r="J365" s="225">
        <f t="shared" si="88"/>
        <v>10.999999438202265</v>
      </c>
      <c r="K365" s="268">
        <v>36</v>
      </c>
      <c r="L365" s="198">
        <f t="shared" si="87"/>
        <v>0.3055555399500629</v>
      </c>
      <c r="M365" s="194">
        <v>5142222.3333333302</v>
      </c>
      <c r="N365" s="199">
        <f t="shared" si="90"/>
        <v>197777.77777777778</v>
      </c>
      <c r="O365" s="200">
        <f>SUM(H365*3/100)</f>
        <v>213600</v>
      </c>
      <c r="P365" s="200"/>
      <c r="Q365" s="200">
        <f t="shared" si="89"/>
        <v>411377.77777777775</v>
      </c>
      <c r="R365" s="201">
        <f>'[1]NOV''25'!Q372+N365-V365</f>
        <v>-2.3283064365386963E-10</v>
      </c>
      <c r="S365" s="201">
        <f>'[1]NOV''25'!R372+O365-W365</f>
        <v>0</v>
      </c>
      <c r="T365" s="201">
        <f>'[1]NOV''25'!S372+P365-X365</f>
        <v>0</v>
      </c>
      <c r="U365" s="200">
        <f t="shared" si="86"/>
        <v>-2.3283064365386963E-10</v>
      </c>
      <c r="V365" s="202">
        <v>197777.77777777801</v>
      </c>
      <c r="W365" s="203">
        <v>213600</v>
      </c>
      <c r="X365" s="203"/>
      <c r="Y365" s="200">
        <f t="shared" si="92"/>
        <v>411377.77777777798</v>
      </c>
      <c r="Z365" s="207">
        <f t="shared" si="93"/>
        <v>4944444.5555555522</v>
      </c>
      <c r="AA365" s="96"/>
      <c r="AB365" s="96" t="e">
        <f>#REF!-#REF!</f>
        <v>#REF!</v>
      </c>
    </row>
    <row r="366" spans="2:28" s="55" customFormat="1" x14ac:dyDescent="0.3">
      <c r="B366" s="191">
        <v>236</v>
      </c>
      <c r="C366" s="192"/>
      <c r="D366" s="192"/>
      <c r="E366" s="208">
        <v>45660</v>
      </c>
      <c r="F366" s="192" t="s">
        <v>152</v>
      </c>
      <c r="G366" s="209" t="s">
        <v>38</v>
      </c>
      <c r="H366" s="194">
        <v>8000000</v>
      </c>
      <c r="I366" s="224"/>
      <c r="J366" s="225">
        <f t="shared" si="88"/>
        <v>11.000000500000006</v>
      </c>
      <c r="K366" s="213">
        <v>18</v>
      </c>
      <c r="L366" s="198">
        <f t="shared" si="87"/>
        <v>0.61111113888888924</v>
      </c>
      <c r="M366" s="194">
        <v>3555555.3333333302</v>
      </c>
      <c r="N366" s="199">
        <f t="shared" si="90"/>
        <v>444444.44444444444</v>
      </c>
      <c r="O366" s="200">
        <f>SUM(H366*2.5/100)</f>
        <v>200000</v>
      </c>
      <c r="P366" s="200"/>
      <c r="Q366" s="200">
        <f t="shared" si="89"/>
        <v>644444.4444444445</v>
      </c>
      <c r="R366" s="201">
        <f>'[1]NOV''25'!Q373+N366-V366</f>
        <v>4.6566128730773926E-10</v>
      </c>
      <c r="S366" s="201">
        <f>'[1]NOV''25'!R373+O366-W366</f>
        <v>0</v>
      </c>
      <c r="T366" s="201">
        <f>'[1]NOV''25'!S373+P366-X366</f>
        <v>0</v>
      </c>
      <c r="U366" s="200">
        <f t="shared" si="86"/>
        <v>4.6566128730773926E-10</v>
      </c>
      <c r="V366" s="202">
        <v>444444.44444444397</v>
      </c>
      <c r="W366" s="203">
        <v>200000</v>
      </c>
      <c r="X366" s="203"/>
      <c r="Y366" s="200">
        <f t="shared" si="92"/>
        <v>644444.44444444403</v>
      </c>
      <c r="Z366" s="207">
        <f t="shared" si="93"/>
        <v>3111110.8888888862</v>
      </c>
      <c r="AA366" s="96"/>
      <c r="AB366" s="96" t="e">
        <f>#REF!-#REF!</f>
        <v>#REF!</v>
      </c>
    </row>
    <row r="367" spans="2:28" s="55" customFormat="1" x14ac:dyDescent="0.3">
      <c r="B367" s="191">
        <v>237</v>
      </c>
      <c r="C367" s="192"/>
      <c r="D367" s="192"/>
      <c r="E367" s="208">
        <v>45663</v>
      </c>
      <c r="F367" s="192" t="s">
        <v>557</v>
      </c>
      <c r="G367" s="209" t="s">
        <v>117</v>
      </c>
      <c r="H367" s="194">
        <v>10000000</v>
      </c>
      <c r="I367" s="224"/>
      <c r="J367" s="225">
        <f t="shared" si="88"/>
        <v>10.999999600000013</v>
      </c>
      <c r="K367" s="268">
        <v>36</v>
      </c>
      <c r="L367" s="198">
        <f t="shared" si="87"/>
        <v>0.30555554444444483</v>
      </c>
      <c r="M367" s="194">
        <v>7222222.3333333302</v>
      </c>
      <c r="N367" s="199">
        <f t="shared" si="90"/>
        <v>277777.77777777775</v>
      </c>
      <c r="O367" s="200">
        <f t="shared" ref="O367:O430" si="95">SUM(H367*3/100)</f>
        <v>300000</v>
      </c>
      <c r="P367" s="200"/>
      <c r="Q367" s="200">
        <f t="shared" si="89"/>
        <v>577777.77777777775</v>
      </c>
      <c r="R367" s="201">
        <f>'[1]NOV''25'!Q374+N367-V367</f>
        <v>0</v>
      </c>
      <c r="S367" s="201">
        <f>'[1]NOV''25'!R374+O367-W367</f>
        <v>0</v>
      </c>
      <c r="T367" s="201">
        <f>'[1]NOV''25'!S374+P367-X367</f>
        <v>0</v>
      </c>
      <c r="U367" s="200">
        <f t="shared" si="86"/>
        <v>0</v>
      </c>
      <c r="V367" s="202">
        <v>277777.77777777798</v>
      </c>
      <c r="W367" s="203">
        <v>300000</v>
      </c>
      <c r="X367" s="203"/>
      <c r="Y367" s="200">
        <f t="shared" si="92"/>
        <v>577777.77777777798</v>
      </c>
      <c r="Z367" s="207">
        <f t="shared" si="93"/>
        <v>6944444.5555555522</v>
      </c>
      <c r="AA367" s="96"/>
      <c r="AB367" s="96" t="e">
        <f>#REF!-#REF!</f>
        <v>#REF!</v>
      </c>
    </row>
    <row r="368" spans="2:28" s="55" customFormat="1" x14ac:dyDescent="0.3">
      <c r="B368" s="191">
        <v>238</v>
      </c>
      <c r="C368" s="192"/>
      <c r="D368" s="192"/>
      <c r="E368" s="208">
        <v>45663</v>
      </c>
      <c r="F368" s="192" t="s">
        <v>154</v>
      </c>
      <c r="G368" s="209" t="s">
        <v>38</v>
      </c>
      <c r="H368" s="194">
        <v>5050000</v>
      </c>
      <c r="I368" s="224"/>
      <c r="J368" s="225">
        <f t="shared" si="88"/>
        <v>10.999999207920782</v>
      </c>
      <c r="K368" s="213">
        <v>18</v>
      </c>
      <c r="L368" s="198">
        <f t="shared" si="87"/>
        <v>0.61111106710671015</v>
      </c>
      <c r="M368" s="194">
        <v>2244444.6666666698</v>
      </c>
      <c r="N368" s="199">
        <f t="shared" si="90"/>
        <v>280555.55555555556</v>
      </c>
      <c r="O368" s="200">
        <f t="shared" si="95"/>
        <v>151500</v>
      </c>
      <c r="P368" s="200"/>
      <c r="Q368" s="200">
        <f t="shared" si="89"/>
        <v>432055.55555555556</v>
      </c>
      <c r="R368" s="201">
        <f>'[1]NOV''25'!Q375+N368-V368</f>
        <v>-4.6566128730773926E-10</v>
      </c>
      <c r="S368" s="201">
        <f>'[1]NOV''25'!R375+O368-W368</f>
        <v>0</v>
      </c>
      <c r="T368" s="201">
        <f>'[1]NOV''25'!S375+P368-X368</f>
        <v>0</v>
      </c>
      <c r="U368" s="200">
        <f t="shared" si="86"/>
        <v>-4.6566128730773926E-10</v>
      </c>
      <c r="V368" s="202">
        <v>280555.55555555603</v>
      </c>
      <c r="W368" s="203">
        <v>151500</v>
      </c>
      <c r="X368" s="203"/>
      <c r="Y368" s="200">
        <f t="shared" si="92"/>
        <v>432055.55555555603</v>
      </c>
      <c r="Z368" s="207">
        <f t="shared" si="93"/>
        <v>1963889.1111111138</v>
      </c>
      <c r="AA368" s="96"/>
      <c r="AB368" s="96" t="e">
        <f>#REF!-#REF!</f>
        <v>#REF!</v>
      </c>
    </row>
    <row r="369" spans="1:28" s="55" customFormat="1" x14ac:dyDescent="0.3">
      <c r="B369" s="191">
        <v>239</v>
      </c>
      <c r="C369" s="192"/>
      <c r="D369" s="192"/>
      <c r="E369" s="208">
        <v>45664</v>
      </c>
      <c r="F369" s="192" t="s">
        <v>558</v>
      </c>
      <c r="G369" s="209" t="s">
        <v>559</v>
      </c>
      <c r="H369" s="194">
        <v>8800000</v>
      </c>
      <c r="I369" s="224"/>
      <c r="J369" s="225">
        <f t="shared" si="88"/>
        <v>11.000000909090909</v>
      </c>
      <c r="K369" s="213">
        <v>24</v>
      </c>
      <c r="L369" s="198">
        <f t="shared" si="87"/>
        <v>0.4583333712121212</v>
      </c>
      <c r="M369" s="194">
        <v>5133333</v>
      </c>
      <c r="N369" s="199">
        <f t="shared" si="90"/>
        <v>366666.66666666669</v>
      </c>
      <c r="O369" s="200">
        <f t="shared" si="95"/>
        <v>264000</v>
      </c>
      <c r="P369" s="200"/>
      <c r="Q369" s="200">
        <f t="shared" si="89"/>
        <v>630666.66666666674</v>
      </c>
      <c r="R369" s="201">
        <f>'[1]NOV''25'!Q376+N369-V369</f>
        <v>0</v>
      </c>
      <c r="S369" s="201">
        <f>'[1]NOV''25'!R376+O369-W369</f>
        <v>0</v>
      </c>
      <c r="T369" s="201">
        <f>'[1]NOV''25'!S376+P369-X369</f>
        <v>0</v>
      </c>
      <c r="U369" s="200">
        <f t="shared" si="86"/>
        <v>0</v>
      </c>
      <c r="V369" s="202">
        <v>366666.66666666698</v>
      </c>
      <c r="W369" s="203">
        <v>264000</v>
      </c>
      <c r="X369" s="203"/>
      <c r="Y369" s="200">
        <f t="shared" si="92"/>
        <v>630666.66666666698</v>
      </c>
      <c r="Z369" s="207">
        <f t="shared" si="93"/>
        <v>4766666.333333333</v>
      </c>
      <c r="AA369" s="96"/>
      <c r="AB369" s="96" t="e">
        <f>#REF!-#REF!</f>
        <v>#REF!</v>
      </c>
    </row>
    <row r="370" spans="1:28" s="55" customFormat="1" x14ac:dyDescent="0.3">
      <c r="B370" s="191">
        <v>241</v>
      </c>
      <c r="C370" s="192"/>
      <c r="D370" s="192"/>
      <c r="E370" s="208">
        <v>45664</v>
      </c>
      <c r="F370" s="192" t="s">
        <v>560</v>
      </c>
      <c r="G370" s="209" t="s">
        <v>561</v>
      </c>
      <c r="H370" s="194">
        <v>7100000</v>
      </c>
      <c r="I370" s="224"/>
      <c r="J370" s="225">
        <f t="shared" si="88"/>
        <v>11.000000563380265</v>
      </c>
      <c r="K370" s="268">
        <v>36</v>
      </c>
      <c r="L370" s="198">
        <f t="shared" si="87"/>
        <v>0.30555557120500737</v>
      </c>
      <c r="M370" s="194">
        <v>5127777.6666666698</v>
      </c>
      <c r="N370" s="199">
        <f t="shared" si="90"/>
        <v>197222.22222222222</v>
      </c>
      <c r="O370" s="200">
        <f t="shared" si="95"/>
        <v>213000</v>
      </c>
      <c r="P370" s="200"/>
      <c r="Q370" s="200">
        <f t="shared" si="89"/>
        <v>410222.22222222225</v>
      </c>
      <c r="R370" s="201">
        <f>'[1]NOV''25'!Q377+N370-V370</f>
        <v>2.3283064365386963E-10</v>
      </c>
      <c r="S370" s="201">
        <f>'[1]NOV''25'!R377+O370-W370</f>
        <v>0</v>
      </c>
      <c r="T370" s="201">
        <f>'[1]NOV''25'!S377+P370-X370</f>
        <v>0</v>
      </c>
      <c r="U370" s="200">
        <f t="shared" si="86"/>
        <v>2.3283064365386963E-10</v>
      </c>
      <c r="V370" s="202">
        <v>197222.22222222199</v>
      </c>
      <c r="W370" s="203">
        <v>213000</v>
      </c>
      <c r="X370" s="203"/>
      <c r="Y370" s="200">
        <f t="shared" si="92"/>
        <v>410222.22222222202</v>
      </c>
      <c r="Z370" s="207">
        <f t="shared" si="93"/>
        <v>4930555.4444444478</v>
      </c>
      <c r="AA370" s="96"/>
      <c r="AB370" s="96" t="e">
        <f>#REF!-#REF!</f>
        <v>#REF!</v>
      </c>
    </row>
    <row r="371" spans="1:28" s="55" customFormat="1" x14ac:dyDescent="0.3">
      <c r="B371" s="191">
        <v>242</v>
      </c>
      <c r="C371" s="192"/>
      <c r="D371" s="192"/>
      <c r="E371" s="208">
        <v>45664</v>
      </c>
      <c r="F371" s="192" t="s">
        <v>562</v>
      </c>
      <c r="G371" s="209" t="s">
        <v>117</v>
      </c>
      <c r="H371" s="194">
        <v>11400000</v>
      </c>
      <c r="I371" s="224"/>
      <c r="J371" s="225">
        <f t="shared" si="88"/>
        <v>11.00000105263158</v>
      </c>
      <c r="K371" s="268">
        <v>36</v>
      </c>
      <c r="L371" s="198">
        <f t="shared" si="87"/>
        <v>0.30555558479532169</v>
      </c>
      <c r="M371" s="194">
        <v>8233333</v>
      </c>
      <c r="N371" s="199">
        <f t="shared" si="90"/>
        <v>316666.66666666669</v>
      </c>
      <c r="O371" s="200">
        <f t="shared" si="95"/>
        <v>342000</v>
      </c>
      <c r="P371" s="200"/>
      <c r="Q371" s="200">
        <f t="shared" si="89"/>
        <v>658666.66666666674</v>
      </c>
      <c r="R371" s="201">
        <f>'[1]NOV''25'!Q378+N371-V371</f>
        <v>0</v>
      </c>
      <c r="S371" s="201">
        <f>'[1]NOV''25'!R378+O371-W371</f>
        <v>0</v>
      </c>
      <c r="T371" s="201">
        <f>'[1]NOV''25'!S378+P371-X371</f>
        <v>0</v>
      </c>
      <c r="U371" s="200">
        <f t="shared" si="86"/>
        <v>0</v>
      </c>
      <c r="V371" s="202">
        <v>316666.66666666698</v>
      </c>
      <c r="W371" s="203">
        <v>342000</v>
      </c>
      <c r="X371" s="203"/>
      <c r="Y371" s="200">
        <f t="shared" si="92"/>
        <v>658666.66666666698</v>
      </c>
      <c r="Z371" s="207">
        <f t="shared" si="93"/>
        <v>7916666.333333333</v>
      </c>
      <c r="AA371" s="96"/>
      <c r="AB371" s="96" t="e">
        <f>#REF!-#REF!</f>
        <v>#REF!</v>
      </c>
    </row>
    <row r="372" spans="1:28" s="55" customFormat="1" x14ac:dyDescent="0.3">
      <c r="B372" s="191">
        <v>243</v>
      </c>
      <c r="C372" s="192"/>
      <c r="D372" s="192"/>
      <c r="E372" s="208">
        <v>45664</v>
      </c>
      <c r="F372" s="192" t="s">
        <v>563</v>
      </c>
      <c r="G372" s="209" t="s">
        <v>561</v>
      </c>
      <c r="H372" s="194">
        <v>18000000</v>
      </c>
      <c r="I372" s="224"/>
      <c r="J372" s="225">
        <f t="shared" si="88"/>
        <v>11</v>
      </c>
      <c r="K372" s="268">
        <v>36</v>
      </c>
      <c r="L372" s="198">
        <f t="shared" si="87"/>
        <v>0.30555555555555558</v>
      </c>
      <c r="M372" s="194">
        <v>13000000</v>
      </c>
      <c r="N372" s="199">
        <f t="shared" si="90"/>
        <v>500000</v>
      </c>
      <c r="O372" s="200">
        <f t="shared" si="95"/>
        <v>540000</v>
      </c>
      <c r="P372" s="200"/>
      <c r="Q372" s="200">
        <f t="shared" si="89"/>
        <v>1040000</v>
      </c>
      <c r="R372" s="201">
        <f>'[1]NOV''25'!Q379+N372-V372</f>
        <v>0</v>
      </c>
      <c r="S372" s="201">
        <f>'[1]NOV''25'!R379+O372-W372</f>
        <v>0</v>
      </c>
      <c r="T372" s="201">
        <f>'[1]NOV''25'!S379+P372-X372</f>
        <v>0</v>
      </c>
      <c r="U372" s="200">
        <f t="shared" si="86"/>
        <v>0</v>
      </c>
      <c r="V372" s="202">
        <v>500000</v>
      </c>
      <c r="W372" s="203">
        <v>540000</v>
      </c>
      <c r="X372" s="203"/>
      <c r="Y372" s="200">
        <f t="shared" si="92"/>
        <v>1040000</v>
      </c>
      <c r="Z372" s="207">
        <f t="shared" si="93"/>
        <v>12500000</v>
      </c>
      <c r="AA372" s="96"/>
      <c r="AB372" s="96" t="e">
        <f>#REF!-#REF!</f>
        <v>#REF!</v>
      </c>
    </row>
    <row r="373" spans="1:28" s="55" customFormat="1" x14ac:dyDescent="0.3">
      <c r="B373" s="191">
        <v>244</v>
      </c>
      <c r="C373" s="192"/>
      <c r="D373" s="192"/>
      <c r="E373" s="208">
        <v>45665</v>
      </c>
      <c r="F373" s="192" t="s">
        <v>564</v>
      </c>
      <c r="G373" s="209" t="s">
        <v>117</v>
      </c>
      <c r="H373" s="194">
        <v>2280000</v>
      </c>
      <c r="I373" s="224"/>
      <c r="J373" s="225">
        <f t="shared" si="88"/>
        <v>11</v>
      </c>
      <c r="K373" s="213">
        <v>24</v>
      </c>
      <c r="L373" s="198">
        <f t="shared" si="87"/>
        <v>0.45833333333333331</v>
      </c>
      <c r="M373" s="194">
        <v>1330000</v>
      </c>
      <c r="N373" s="199">
        <f t="shared" si="90"/>
        <v>95000</v>
      </c>
      <c r="O373" s="200">
        <f t="shared" si="95"/>
        <v>68400</v>
      </c>
      <c r="P373" s="200"/>
      <c r="Q373" s="200">
        <f t="shared" si="89"/>
        <v>163400</v>
      </c>
      <c r="R373" s="201">
        <f>'[1]NOV''25'!Q380+N373-V373</f>
        <v>0</v>
      </c>
      <c r="S373" s="201">
        <f>'[1]NOV''25'!R380+O373-W373</f>
        <v>0</v>
      </c>
      <c r="T373" s="201">
        <f>'[1]NOV''25'!S380+P373-X373</f>
        <v>0</v>
      </c>
      <c r="U373" s="200">
        <f t="shared" si="86"/>
        <v>0</v>
      </c>
      <c r="V373" s="202">
        <v>95000</v>
      </c>
      <c r="W373" s="203">
        <v>68400</v>
      </c>
      <c r="X373" s="203"/>
      <c r="Y373" s="200">
        <f t="shared" si="92"/>
        <v>163400</v>
      </c>
      <c r="Z373" s="207">
        <f t="shared" si="93"/>
        <v>1235000</v>
      </c>
      <c r="AA373" s="96"/>
      <c r="AB373" s="96" t="e">
        <f>#REF!-#REF!</f>
        <v>#REF!</v>
      </c>
    </row>
    <row r="374" spans="1:28" s="55" customFormat="1" x14ac:dyDescent="0.3">
      <c r="B374" s="191">
        <v>245</v>
      </c>
      <c r="C374" s="192"/>
      <c r="D374" s="192"/>
      <c r="E374" s="208">
        <v>45665</v>
      </c>
      <c r="F374" s="192" t="s">
        <v>565</v>
      </c>
      <c r="G374" s="209" t="s">
        <v>106</v>
      </c>
      <c r="H374" s="194">
        <v>25000000</v>
      </c>
      <c r="I374" s="224"/>
      <c r="J374" s="225">
        <f t="shared" si="88"/>
        <v>11.000000320000003</v>
      </c>
      <c r="K374" s="213">
        <v>24</v>
      </c>
      <c r="L374" s="198">
        <f t="shared" si="87"/>
        <v>0.45833334666666681</v>
      </c>
      <c r="M374" s="194">
        <v>14583333</v>
      </c>
      <c r="N374" s="199">
        <f t="shared" si="90"/>
        <v>1041666.6666666666</v>
      </c>
      <c r="O374" s="200">
        <f t="shared" si="95"/>
        <v>750000</v>
      </c>
      <c r="P374" s="200"/>
      <c r="Q374" s="200">
        <f t="shared" si="89"/>
        <v>1791666.6666666665</v>
      </c>
      <c r="R374" s="201">
        <f>'[1]NOV''25'!Q381+N374-V374</f>
        <v>-3.3760443329811096E-9</v>
      </c>
      <c r="S374" s="201">
        <f>'[1]NOV''25'!R381+O374-W374</f>
        <v>0</v>
      </c>
      <c r="T374" s="201">
        <f>'[1]NOV''25'!S381+P374-X374</f>
        <v>0</v>
      </c>
      <c r="U374" s="200">
        <f t="shared" si="86"/>
        <v>-3.3760443329811096E-9</v>
      </c>
      <c r="V374" s="202">
        <v>1041666.66666667</v>
      </c>
      <c r="W374" s="203">
        <v>750000</v>
      </c>
      <c r="X374" s="203"/>
      <c r="Y374" s="200">
        <f t="shared" si="92"/>
        <v>1791666.66666667</v>
      </c>
      <c r="Z374" s="207">
        <f t="shared" si="93"/>
        <v>13541666.33333333</v>
      </c>
      <c r="AA374" s="96"/>
      <c r="AB374" s="96" t="e">
        <f>#REF!-#REF!</f>
        <v>#REF!</v>
      </c>
    </row>
    <row r="375" spans="1:28" s="55" customFormat="1" x14ac:dyDescent="0.3">
      <c r="B375" s="191">
        <v>246</v>
      </c>
      <c r="C375" s="192"/>
      <c r="D375" s="192"/>
      <c r="E375" s="208">
        <v>45667</v>
      </c>
      <c r="F375" s="192" t="s">
        <v>566</v>
      </c>
      <c r="G375" s="209" t="s">
        <v>567</v>
      </c>
      <c r="H375" s="194">
        <v>1800000</v>
      </c>
      <c r="I375" s="224"/>
      <c r="J375" s="225">
        <f t="shared" si="88"/>
        <v>11</v>
      </c>
      <c r="K375" s="268">
        <v>36</v>
      </c>
      <c r="L375" s="198">
        <f t="shared" si="87"/>
        <v>0.30555555555555558</v>
      </c>
      <c r="M375" s="194">
        <v>1300000</v>
      </c>
      <c r="N375" s="199">
        <f t="shared" si="90"/>
        <v>50000</v>
      </c>
      <c r="O375" s="200">
        <f t="shared" si="95"/>
        <v>54000</v>
      </c>
      <c r="P375" s="200"/>
      <c r="Q375" s="200">
        <f t="shared" si="89"/>
        <v>104000</v>
      </c>
      <c r="R375" s="201">
        <f>'[1]NOV''25'!Q382+N375-V375</f>
        <v>0</v>
      </c>
      <c r="S375" s="201">
        <f>'[1]NOV''25'!R382+O375-W375</f>
        <v>0</v>
      </c>
      <c r="T375" s="201">
        <f>'[1]NOV''25'!S382+P375-X375</f>
        <v>0</v>
      </c>
      <c r="U375" s="200">
        <f t="shared" si="86"/>
        <v>0</v>
      </c>
      <c r="V375" s="202">
        <v>50000</v>
      </c>
      <c r="W375" s="203">
        <v>54000</v>
      </c>
      <c r="X375" s="203"/>
      <c r="Y375" s="200">
        <f t="shared" si="92"/>
        <v>104000</v>
      </c>
      <c r="Z375" s="207">
        <f t="shared" si="93"/>
        <v>1250000</v>
      </c>
      <c r="AA375" s="96"/>
      <c r="AB375" s="96" t="e">
        <f>#REF!-#REF!</f>
        <v>#REF!</v>
      </c>
    </row>
    <row r="376" spans="1:28" s="55" customFormat="1" x14ac:dyDescent="0.3">
      <c r="B376" s="191">
        <v>247</v>
      </c>
      <c r="C376" s="192"/>
      <c r="D376" s="192"/>
      <c r="E376" s="208">
        <v>45667</v>
      </c>
      <c r="F376" s="192" t="s">
        <v>568</v>
      </c>
      <c r="G376" s="209" t="s">
        <v>239</v>
      </c>
      <c r="H376" s="194">
        <v>2300000</v>
      </c>
      <c r="I376" s="224"/>
      <c r="J376" s="225">
        <f t="shared" si="88"/>
        <v>11.000006956521688</v>
      </c>
      <c r="K376" s="268">
        <v>36</v>
      </c>
      <c r="L376" s="198">
        <f t="shared" si="87"/>
        <v>0.3055557487922691</v>
      </c>
      <c r="M376" s="194">
        <v>1661110.66666667</v>
      </c>
      <c r="N376" s="199">
        <f t="shared" si="90"/>
        <v>63888.888888888891</v>
      </c>
      <c r="O376" s="200">
        <f t="shared" si="95"/>
        <v>69000</v>
      </c>
      <c r="P376" s="200"/>
      <c r="Q376" s="200">
        <f t="shared" si="89"/>
        <v>132888.88888888888</v>
      </c>
      <c r="R376" s="201">
        <f>'[1]NOV''25'!Q383+N376-V376</f>
        <v>0</v>
      </c>
      <c r="S376" s="201">
        <f>'[1]NOV''25'!R383+O376-W376</f>
        <v>0</v>
      </c>
      <c r="T376" s="201">
        <f>'[1]NOV''25'!S383+P376-X376</f>
        <v>0</v>
      </c>
      <c r="U376" s="200">
        <f t="shared" si="86"/>
        <v>0</v>
      </c>
      <c r="V376" s="202">
        <v>63888.888888888898</v>
      </c>
      <c r="W376" s="203">
        <v>69000</v>
      </c>
      <c r="X376" s="203"/>
      <c r="Y376" s="200">
        <f t="shared" si="92"/>
        <v>132888.88888888891</v>
      </c>
      <c r="Z376" s="207">
        <f t="shared" si="93"/>
        <v>1597221.777777781</v>
      </c>
      <c r="AA376" s="96"/>
      <c r="AB376" s="96" t="e">
        <f>#REF!-#REF!</f>
        <v>#REF!</v>
      </c>
    </row>
    <row r="377" spans="1:28" s="55" customFormat="1" x14ac:dyDescent="0.3">
      <c r="B377" s="191">
        <v>248</v>
      </c>
      <c r="C377" s="192"/>
      <c r="D377" s="192"/>
      <c r="E377" s="208">
        <v>45671</v>
      </c>
      <c r="F377" s="192" t="s">
        <v>569</v>
      </c>
      <c r="G377" s="209" t="s">
        <v>33</v>
      </c>
      <c r="H377" s="194">
        <v>11080000</v>
      </c>
      <c r="I377" s="224"/>
      <c r="J377" s="225">
        <f t="shared" si="88"/>
        <v>11.000000361010835</v>
      </c>
      <c r="K377" s="268">
        <v>36</v>
      </c>
      <c r="L377" s="198">
        <f t="shared" si="87"/>
        <v>0.30555556558363434</v>
      </c>
      <c r="M377" s="194">
        <v>8002222.1111111101</v>
      </c>
      <c r="N377" s="199">
        <f t="shared" si="90"/>
        <v>307777.77777777775</v>
      </c>
      <c r="O377" s="200">
        <f t="shared" si="95"/>
        <v>332400</v>
      </c>
      <c r="P377" s="200"/>
      <c r="Q377" s="200">
        <f t="shared" si="89"/>
        <v>640177.77777777775</v>
      </c>
      <c r="R377" s="201">
        <f>'[1]NOV''25'!Q384+N377-V377</f>
        <v>-0.22222222248092294</v>
      </c>
      <c r="S377" s="201">
        <f>'[1]NOV''25'!R384+O377-W377</f>
        <v>0</v>
      </c>
      <c r="T377" s="201">
        <f>'[1]NOV''25'!S384+P377-X377</f>
        <v>0</v>
      </c>
      <c r="U377" s="200">
        <f t="shared" si="86"/>
        <v>-0.22222222248092294</v>
      </c>
      <c r="V377" s="202">
        <v>307777.77777777798</v>
      </c>
      <c r="W377" s="203">
        <v>332400</v>
      </c>
      <c r="X377" s="203"/>
      <c r="Y377" s="200">
        <f t="shared" si="92"/>
        <v>640177.77777777798</v>
      </c>
      <c r="Z377" s="207">
        <f t="shared" si="93"/>
        <v>7694444.3333333321</v>
      </c>
      <c r="AA377" s="96"/>
      <c r="AB377" s="96" t="e">
        <f>#REF!-#REF!</f>
        <v>#REF!</v>
      </c>
    </row>
    <row r="378" spans="1:28" s="55" customFormat="1" x14ac:dyDescent="0.3">
      <c r="B378" s="191">
        <v>249</v>
      </c>
      <c r="C378" s="192"/>
      <c r="D378" s="192"/>
      <c r="E378" s="208">
        <v>45673</v>
      </c>
      <c r="F378" s="192" t="s">
        <v>570</v>
      </c>
      <c r="G378" s="209" t="s">
        <v>117</v>
      </c>
      <c r="H378" s="194">
        <v>6900000</v>
      </c>
      <c r="I378" s="224"/>
      <c r="J378" s="225">
        <f t="shared" si="88"/>
        <v>11</v>
      </c>
      <c r="K378" s="213">
        <v>24</v>
      </c>
      <c r="L378" s="198">
        <f t="shared" si="87"/>
        <v>0.45833333333333331</v>
      </c>
      <c r="M378" s="194">
        <v>4025000</v>
      </c>
      <c r="N378" s="199">
        <f t="shared" si="90"/>
        <v>287500</v>
      </c>
      <c r="O378" s="200">
        <f t="shared" si="95"/>
        <v>207000</v>
      </c>
      <c r="P378" s="200"/>
      <c r="Q378" s="200">
        <f t="shared" si="89"/>
        <v>494500</v>
      </c>
      <c r="R378" s="201">
        <f>'[1]NOV''25'!Q385+N378-V378</f>
        <v>0</v>
      </c>
      <c r="S378" s="201">
        <f>'[1]NOV''25'!R385+O378-W378</f>
        <v>0</v>
      </c>
      <c r="T378" s="201">
        <f>'[1]NOV''25'!S385+P378-X378</f>
        <v>0</v>
      </c>
      <c r="U378" s="200">
        <f t="shared" si="86"/>
        <v>0</v>
      </c>
      <c r="V378" s="202">
        <v>287500</v>
      </c>
      <c r="W378" s="203">
        <v>207000</v>
      </c>
      <c r="X378" s="203"/>
      <c r="Y378" s="200">
        <f t="shared" si="92"/>
        <v>494500</v>
      </c>
      <c r="Z378" s="207">
        <f t="shared" si="93"/>
        <v>3737500</v>
      </c>
      <c r="AA378" s="96"/>
      <c r="AB378" s="96" t="e">
        <f>#REF!-#REF!</f>
        <v>#REF!</v>
      </c>
    </row>
    <row r="379" spans="1:28" s="55" customFormat="1" x14ac:dyDescent="0.3">
      <c r="B379" s="191">
        <v>250</v>
      </c>
      <c r="C379" s="192"/>
      <c r="D379" s="192"/>
      <c r="E379" s="208">
        <v>45673</v>
      </c>
      <c r="F379" s="192" t="s">
        <v>571</v>
      </c>
      <c r="G379" s="209" t="s">
        <v>239</v>
      </c>
      <c r="H379" s="194">
        <v>8400000</v>
      </c>
      <c r="I379" s="224"/>
      <c r="J379" s="225">
        <f t="shared" si="88"/>
        <v>10.99999857142857</v>
      </c>
      <c r="K379" s="268">
        <v>36</v>
      </c>
      <c r="L379" s="198">
        <f t="shared" si="87"/>
        <v>0.30555551587301583</v>
      </c>
      <c r="M379" s="194">
        <v>6066667</v>
      </c>
      <c r="N379" s="199">
        <f t="shared" si="90"/>
        <v>233333.33333333334</v>
      </c>
      <c r="O379" s="200">
        <f t="shared" si="95"/>
        <v>252000</v>
      </c>
      <c r="P379" s="200"/>
      <c r="Q379" s="200">
        <f t="shared" si="89"/>
        <v>485333.33333333337</v>
      </c>
      <c r="R379" s="201">
        <f>'[1]NOV''25'!Q386+N379-V379</f>
        <v>3.4924596548080444E-10</v>
      </c>
      <c r="S379" s="201">
        <f>'[1]NOV''25'!R386+O379-W379</f>
        <v>0</v>
      </c>
      <c r="T379" s="201">
        <f>'[1]NOV''25'!S386+P379-X379</f>
        <v>0</v>
      </c>
      <c r="U379" s="200">
        <f t="shared" si="86"/>
        <v>3.4924596548080444E-10</v>
      </c>
      <c r="V379" s="202">
        <v>233333.33333333299</v>
      </c>
      <c r="W379" s="203">
        <v>252000</v>
      </c>
      <c r="X379" s="203"/>
      <c r="Y379" s="200">
        <f t="shared" si="92"/>
        <v>485333.33333333302</v>
      </c>
      <c r="Z379" s="207">
        <f t="shared" si="93"/>
        <v>5833333.666666667</v>
      </c>
      <c r="AA379" s="96"/>
      <c r="AB379" s="96" t="e">
        <f>#REF!-#REF!</f>
        <v>#REF!</v>
      </c>
    </row>
    <row r="380" spans="1:28" s="55" customFormat="1" x14ac:dyDescent="0.3">
      <c r="B380" s="191">
        <v>251</v>
      </c>
      <c r="C380" s="192"/>
      <c r="D380" s="192"/>
      <c r="E380" s="208">
        <v>45673</v>
      </c>
      <c r="F380" s="192" t="s">
        <v>572</v>
      </c>
      <c r="G380" s="209" t="s">
        <v>117</v>
      </c>
      <c r="H380" s="194">
        <v>18040000</v>
      </c>
      <c r="I380" s="224"/>
      <c r="J380" s="225">
        <f t="shared" si="88"/>
        <v>11.041905321507693</v>
      </c>
      <c r="K380" s="268">
        <v>36</v>
      </c>
      <c r="L380" s="198">
        <f t="shared" si="87"/>
        <v>0.30671959226410261</v>
      </c>
      <c r="M380" s="194">
        <v>13007889.6666667</v>
      </c>
      <c r="N380" s="199">
        <f t="shared" si="90"/>
        <v>501111.11111111112</v>
      </c>
      <c r="O380" s="200">
        <f t="shared" si="95"/>
        <v>541200</v>
      </c>
      <c r="P380" s="200"/>
      <c r="Q380" s="200">
        <f t="shared" si="89"/>
        <v>1042311.1111111111</v>
      </c>
      <c r="R380" s="201">
        <f>'[1]NOV''25'!Q387+N380-V380</f>
        <v>0.22222222248092294</v>
      </c>
      <c r="S380" s="201">
        <f>'[1]NOV''25'!R387+O380-W380</f>
        <v>0</v>
      </c>
      <c r="T380" s="201">
        <f>'[1]NOV''25'!S387+P380-X380</f>
        <v>0</v>
      </c>
      <c r="U380" s="200">
        <f t="shared" si="86"/>
        <v>0.22222222248092294</v>
      </c>
      <c r="V380" s="202">
        <v>501111.11111111101</v>
      </c>
      <c r="W380" s="203">
        <v>541200</v>
      </c>
      <c r="X380" s="203"/>
      <c r="Y380" s="200">
        <f t="shared" si="92"/>
        <v>1042311.111111111</v>
      </c>
      <c r="Z380" s="207">
        <f t="shared" si="93"/>
        <v>12506778.555555589</v>
      </c>
      <c r="AA380" s="96"/>
      <c r="AB380" s="96" t="e">
        <f>#REF!-#REF!</f>
        <v>#REF!</v>
      </c>
    </row>
    <row r="381" spans="1:28" s="55" customFormat="1" x14ac:dyDescent="0.3">
      <c r="B381" s="191">
        <v>252</v>
      </c>
      <c r="C381" s="205" t="s">
        <v>573</v>
      </c>
      <c r="D381" s="192"/>
      <c r="E381" s="208">
        <v>45674</v>
      </c>
      <c r="F381" s="192" t="s">
        <v>574</v>
      </c>
      <c r="G381" s="209" t="s">
        <v>38</v>
      </c>
      <c r="H381" s="194">
        <v>5480000</v>
      </c>
      <c r="I381" s="224"/>
      <c r="J381" s="225">
        <f t="shared" si="88"/>
        <v>11.000000729926986</v>
      </c>
      <c r="K381" s="268">
        <v>36</v>
      </c>
      <c r="L381" s="198">
        <f t="shared" si="87"/>
        <v>0.30555557583130516</v>
      </c>
      <c r="M381" s="194">
        <v>3957777.6666666698</v>
      </c>
      <c r="N381" s="199">
        <f t="shared" si="90"/>
        <v>152222.22222222222</v>
      </c>
      <c r="O381" s="200">
        <f t="shared" si="95"/>
        <v>164400</v>
      </c>
      <c r="P381" s="200"/>
      <c r="Q381" s="200">
        <f t="shared" si="89"/>
        <v>316622.22222222225</v>
      </c>
      <c r="R381" s="201">
        <f>'[1]NOV''25'!Q388+N381-V381</f>
        <v>2.3283064365386963E-10</v>
      </c>
      <c r="S381" s="201">
        <f>'[1]NOV''25'!R388+O381-W381</f>
        <v>0</v>
      </c>
      <c r="T381" s="201">
        <f>'[1]NOV''25'!S388+P381-X381</f>
        <v>0</v>
      </c>
      <c r="U381" s="200">
        <f t="shared" si="86"/>
        <v>2.3283064365386963E-10</v>
      </c>
      <c r="V381" s="202">
        <v>152222.22222222199</v>
      </c>
      <c r="W381" s="203">
        <v>164400</v>
      </c>
      <c r="X381" s="203"/>
      <c r="Y381" s="200">
        <f t="shared" si="92"/>
        <v>316622.22222222202</v>
      </c>
      <c r="Z381" s="207">
        <f t="shared" si="93"/>
        <v>3805555.4444444478</v>
      </c>
      <c r="AA381" s="96"/>
      <c r="AB381" s="96" t="e">
        <f>#REF!-#REF!</f>
        <v>#REF!</v>
      </c>
    </row>
    <row r="382" spans="1:28" s="55" customFormat="1" x14ac:dyDescent="0.3">
      <c r="B382" s="191">
        <v>253</v>
      </c>
      <c r="C382" s="192"/>
      <c r="D382" s="192"/>
      <c r="E382" s="208">
        <v>45674</v>
      </c>
      <c r="F382" s="192" t="s">
        <v>575</v>
      </c>
      <c r="G382" s="209" t="s">
        <v>542</v>
      </c>
      <c r="H382" s="194">
        <v>2500000</v>
      </c>
      <c r="I382" s="224"/>
      <c r="J382" s="225">
        <f t="shared" si="88"/>
        <v>11.00000320000005</v>
      </c>
      <c r="K382" s="268">
        <v>36</v>
      </c>
      <c r="L382" s="198">
        <f t="shared" si="87"/>
        <v>0.30555564444444583</v>
      </c>
      <c r="M382" s="194">
        <v>1805555.33333333</v>
      </c>
      <c r="N382" s="199">
        <f t="shared" si="90"/>
        <v>69444.444444444438</v>
      </c>
      <c r="O382" s="200">
        <f t="shared" si="95"/>
        <v>75000</v>
      </c>
      <c r="P382" s="200"/>
      <c r="Q382" s="200">
        <f t="shared" si="89"/>
        <v>144444.44444444444</v>
      </c>
      <c r="R382" s="201">
        <f>'[1]NOV''25'!Q389+N382-V382</f>
        <v>0</v>
      </c>
      <c r="S382" s="201">
        <f>'[1]NOV''25'!R389+O382-W382</f>
        <v>0</v>
      </c>
      <c r="T382" s="201">
        <f>'[1]NOV''25'!S389+P382-X382</f>
        <v>0</v>
      </c>
      <c r="U382" s="200">
        <f t="shared" si="86"/>
        <v>0</v>
      </c>
      <c r="V382" s="202">
        <v>69444.444444444394</v>
      </c>
      <c r="W382" s="203">
        <v>75000</v>
      </c>
      <c r="X382" s="203"/>
      <c r="Y382" s="200">
        <f t="shared" si="92"/>
        <v>144444.44444444438</v>
      </c>
      <c r="Z382" s="207">
        <f t="shared" si="93"/>
        <v>1736110.8888888855</v>
      </c>
      <c r="AA382" s="96"/>
      <c r="AB382" s="96" t="e">
        <f>#REF!-#REF!</f>
        <v>#REF!</v>
      </c>
    </row>
    <row r="383" spans="1:28" s="55" customFormat="1" x14ac:dyDescent="0.3">
      <c r="B383" s="191">
        <v>254</v>
      </c>
      <c r="C383" s="192"/>
      <c r="D383" s="192"/>
      <c r="E383" s="208">
        <v>45674</v>
      </c>
      <c r="F383" s="192" t="s">
        <v>576</v>
      </c>
      <c r="G383" s="209" t="s">
        <v>542</v>
      </c>
      <c r="H383" s="194">
        <v>8000000</v>
      </c>
      <c r="I383" s="224"/>
      <c r="J383" s="225">
        <f t="shared" si="88"/>
        <v>10.999999499999994</v>
      </c>
      <c r="K383" s="268">
        <v>36</v>
      </c>
      <c r="L383" s="198">
        <f t="shared" si="87"/>
        <v>0.30555554166666649</v>
      </c>
      <c r="M383" s="194">
        <v>5777777.8888888899</v>
      </c>
      <c r="N383" s="199">
        <f t="shared" si="90"/>
        <v>222222.22222222222</v>
      </c>
      <c r="O383" s="200">
        <f t="shared" si="95"/>
        <v>240000</v>
      </c>
      <c r="P383" s="200"/>
      <c r="Q383" s="200">
        <f t="shared" si="89"/>
        <v>462222.22222222225</v>
      </c>
      <c r="R383" s="201">
        <f>'[1]NOV''25'!Q390+N383-V383</f>
        <v>0.22222222245181911</v>
      </c>
      <c r="S383" s="201">
        <f>'[1]NOV''25'!R390+O383-W383</f>
        <v>0</v>
      </c>
      <c r="T383" s="201">
        <f>'[1]NOV''25'!S390+P383-X383</f>
        <v>0</v>
      </c>
      <c r="U383" s="200">
        <f t="shared" si="86"/>
        <v>0.22222222245181911</v>
      </c>
      <c r="V383" s="202">
        <v>222222.22222222199</v>
      </c>
      <c r="W383" s="203">
        <v>240000</v>
      </c>
      <c r="X383" s="203"/>
      <c r="Y383" s="200">
        <f t="shared" si="92"/>
        <v>462222.22222222202</v>
      </c>
      <c r="Z383" s="207">
        <f t="shared" si="93"/>
        <v>5555555.6666666679</v>
      </c>
      <c r="AA383" s="96"/>
      <c r="AB383" s="96" t="e">
        <f>#REF!-#REF!</f>
        <v>#REF!</v>
      </c>
    </row>
    <row r="384" spans="1:28" s="55" customFormat="1" x14ac:dyDescent="0.3">
      <c r="A384" s="55" t="s">
        <v>127</v>
      </c>
      <c r="B384" s="191">
        <v>255</v>
      </c>
      <c r="C384" s="205" t="s">
        <v>577</v>
      </c>
      <c r="D384" s="192"/>
      <c r="E384" s="208">
        <v>45677</v>
      </c>
      <c r="F384" s="192" t="s">
        <v>578</v>
      </c>
      <c r="G384" s="209" t="s">
        <v>579</v>
      </c>
      <c r="H384" s="194">
        <v>6730000</v>
      </c>
      <c r="I384" s="224"/>
      <c r="J384" s="269">
        <f t="shared" si="88"/>
        <v>10.99999938187222</v>
      </c>
      <c r="K384" s="268">
        <v>36</v>
      </c>
      <c r="L384" s="198">
        <f t="shared" si="87"/>
        <v>0.30555553838533944</v>
      </c>
      <c r="M384" s="194">
        <v>4860555.6711111097</v>
      </c>
      <c r="N384" s="199">
        <f t="shared" si="90"/>
        <v>186944.44444444444</v>
      </c>
      <c r="O384" s="200">
        <f t="shared" si="95"/>
        <v>201900</v>
      </c>
      <c r="P384" s="200"/>
      <c r="Q384" s="200">
        <f t="shared" si="89"/>
        <v>388844.44444444444</v>
      </c>
      <c r="R384" s="201">
        <f>'[1]NOV''25'!Q391+N384-V384</f>
        <v>0.33777777818613686</v>
      </c>
      <c r="S384" s="201">
        <f>'[1]NOV''25'!R391+O384-W384</f>
        <v>0</v>
      </c>
      <c r="T384" s="201">
        <f>'[1]NOV''25'!S391+P384-X384</f>
        <v>0</v>
      </c>
      <c r="U384" s="200">
        <f t="shared" si="86"/>
        <v>0.33777777818613686</v>
      </c>
      <c r="V384" s="202">
        <v>186944.444444444</v>
      </c>
      <c r="W384" s="203">
        <v>201900</v>
      </c>
      <c r="X384" s="203"/>
      <c r="Y384" s="200">
        <f t="shared" si="92"/>
        <v>388844.44444444403</v>
      </c>
      <c r="Z384" s="207">
        <f t="shared" si="93"/>
        <v>4673611.2266666656</v>
      </c>
      <c r="AA384" s="96"/>
      <c r="AB384" s="96" t="e">
        <f>#REF!-#REF!</f>
        <v>#REF!</v>
      </c>
    </row>
    <row r="385" spans="2:28" s="55" customFormat="1" x14ac:dyDescent="0.3">
      <c r="B385" s="191">
        <v>256</v>
      </c>
      <c r="C385" s="192"/>
      <c r="D385" s="192"/>
      <c r="E385" s="208">
        <v>45678</v>
      </c>
      <c r="F385" s="192" t="s">
        <v>580</v>
      </c>
      <c r="G385" s="209" t="s">
        <v>38</v>
      </c>
      <c r="H385" s="194">
        <v>1960000</v>
      </c>
      <c r="I385" s="224"/>
      <c r="J385" s="225">
        <f t="shared" si="88"/>
        <v>10.999995918367306</v>
      </c>
      <c r="K385" s="268">
        <v>36</v>
      </c>
      <c r="L385" s="198">
        <f t="shared" si="87"/>
        <v>0.30555544217686958</v>
      </c>
      <c r="M385" s="194">
        <v>1415555.7777777801</v>
      </c>
      <c r="N385" s="199">
        <f t="shared" si="90"/>
        <v>54444.444444444445</v>
      </c>
      <c r="O385" s="200">
        <f t="shared" si="95"/>
        <v>58800</v>
      </c>
      <c r="P385" s="200"/>
      <c r="Q385" s="200">
        <f t="shared" si="89"/>
        <v>113244.44444444444</v>
      </c>
      <c r="R385" s="201">
        <f>'[1]NOV''25'!Q392+N385-V385</f>
        <v>0.44444444448890863</v>
      </c>
      <c r="S385" s="201">
        <f>'[1]NOV''25'!R392+O385-W385</f>
        <v>0</v>
      </c>
      <c r="T385" s="201">
        <f>'[1]NOV''25'!S392+P385-X385</f>
        <v>0</v>
      </c>
      <c r="U385" s="200">
        <f t="shared" si="86"/>
        <v>0.44444444448890863</v>
      </c>
      <c r="V385" s="202">
        <v>54444.444444444402</v>
      </c>
      <c r="W385" s="203">
        <v>58800</v>
      </c>
      <c r="X385" s="203"/>
      <c r="Y385" s="200">
        <f t="shared" si="92"/>
        <v>113244.44444444441</v>
      </c>
      <c r="Z385" s="207">
        <f t="shared" si="93"/>
        <v>1361111.3333333356</v>
      </c>
      <c r="AA385" s="96"/>
      <c r="AB385" s="96" t="e">
        <f>#REF!-#REF!</f>
        <v>#REF!</v>
      </c>
    </row>
    <row r="386" spans="2:28" s="55" customFormat="1" x14ac:dyDescent="0.3">
      <c r="B386" s="191">
        <v>257</v>
      </c>
      <c r="C386" s="192"/>
      <c r="D386" s="192"/>
      <c r="E386" s="208">
        <v>45679</v>
      </c>
      <c r="F386" s="192" t="s">
        <v>581</v>
      </c>
      <c r="G386" s="209" t="s">
        <v>61</v>
      </c>
      <c r="H386" s="194">
        <v>8500000</v>
      </c>
      <c r="I386" s="224"/>
      <c r="J386" s="225">
        <f t="shared" si="88"/>
        <v>10.99999811764707</v>
      </c>
      <c r="K386" s="268">
        <v>36</v>
      </c>
      <c r="L386" s="198">
        <f t="shared" si="87"/>
        <v>0.3055555032679742</v>
      </c>
      <c r="M386" s="194">
        <v>6138889.3333333302</v>
      </c>
      <c r="N386" s="199">
        <f t="shared" si="90"/>
        <v>236111.11111111112</v>
      </c>
      <c r="O386" s="200">
        <f t="shared" si="95"/>
        <v>255000</v>
      </c>
      <c r="P386" s="200"/>
      <c r="Q386" s="200">
        <f t="shared" si="89"/>
        <v>491111.11111111112</v>
      </c>
      <c r="R386" s="201">
        <f>'[1]NOV''25'!Q393+N386-V386</f>
        <v>0</v>
      </c>
      <c r="S386" s="201">
        <f>'[1]NOV''25'!R393+O386-W386</f>
        <v>0</v>
      </c>
      <c r="T386" s="201">
        <f>'[1]NOV''25'!S393+P386-X386</f>
        <v>0</v>
      </c>
      <c r="U386" s="200">
        <f t="shared" si="86"/>
        <v>0</v>
      </c>
      <c r="V386" s="202">
        <v>236111.11111111101</v>
      </c>
      <c r="W386" s="203">
        <v>255000</v>
      </c>
      <c r="X386" s="203"/>
      <c r="Y386" s="200">
        <f t="shared" si="92"/>
        <v>491111.11111111101</v>
      </c>
      <c r="Z386" s="207">
        <f t="shared" si="93"/>
        <v>5902778.2222222192</v>
      </c>
      <c r="AA386" s="96"/>
      <c r="AB386" s="96" t="e">
        <f>#REF!-#REF!</f>
        <v>#REF!</v>
      </c>
    </row>
    <row r="387" spans="2:28" s="55" customFormat="1" x14ac:dyDescent="0.3">
      <c r="B387" s="191">
        <v>258</v>
      </c>
      <c r="C387" s="192"/>
      <c r="D387" s="192"/>
      <c r="E387" s="208">
        <v>45679</v>
      </c>
      <c r="F387" s="192" t="s">
        <v>582</v>
      </c>
      <c r="G387" s="209" t="s">
        <v>583</v>
      </c>
      <c r="H387" s="194">
        <v>9000000</v>
      </c>
      <c r="I387" s="224"/>
      <c r="J387" s="225">
        <f t="shared" si="88"/>
        <v>11</v>
      </c>
      <c r="K387" s="268">
        <v>36</v>
      </c>
      <c r="L387" s="198">
        <f t="shared" si="87"/>
        <v>0.30555555555555558</v>
      </c>
      <c r="M387" s="194">
        <v>6500000</v>
      </c>
      <c r="N387" s="199">
        <f t="shared" si="90"/>
        <v>250000</v>
      </c>
      <c r="O387" s="200">
        <f t="shared" si="95"/>
        <v>270000</v>
      </c>
      <c r="P387" s="200"/>
      <c r="Q387" s="200">
        <f t="shared" si="89"/>
        <v>520000</v>
      </c>
      <c r="R387" s="201">
        <f>'[1]NOV''25'!Q394+N387-V387</f>
        <v>0</v>
      </c>
      <c r="S387" s="201">
        <f>'[1]NOV''25'!R394+O387-W387</f>
        <v>0</v>
      </c>
      <c r="T387" s="201">
        <f>'[1]NOV''25'!S394+P387-X387</f>
        <v>0</v>
      </c>
      <c r="U387" s="200">
        <f t="shared" si="86"/>
        <v>0</v>
      </c>
      <c r="V387" s="202">
        <v>250000</v>
      </c>
      <c r="W387" s="203">
        <v>270000</v>
      </c>
      <c r="X387" s="203"/>
      <c r="Y387" s="200">
        <f t="shared" si="92"/>
        <v>520000</v>
      </c>
      <c r="Z387" s="207">
        <f t="shared" si="93"/>
        <v>6250000</v>
      </c>
      <c r="AA387" s="96"/>
      <c r="AB387" s="96" t="e">
        <f>#REF!-#REF!</f>
        <v>#REF!</v>
      </c>
    </row>
    <row r="388" spans="2:28" s="55" customFormat="1" x14ac:dyDescent="0.3">
      <c r="B388" s="191">
        <v>259</v>
      </c>
      <c r="C388" s="192"/>
      <c r="D388" s="192"/>
      <c r="E388" s="208">
        <v>45680</v>
      </c>
      <c r="F388" s="192" t="s">
        <v>584</v>
      </c>
      <c r="G388" s="209" t="s">
        <v>542</v>
      </c>
      <c r="H388" s="194">
        <v>9300000</v>
      </c>
      <c r="I388" s="224"/>
      <c r="J388" s="225">
        <f t="shared" si="88"/>
        <v>10.999998709677417</v>
      </c>
      <c r="K388" s="268">
        <v>36</v>
      </c>
      <c r="L388" s="198">
        <f t="shared" si="87"/>
        <v>0.30555551971326156</v>
      </c>
      <c r="M388" s="194">
        <v>6716667</v>
      </c>
      <c r="N388" s="199">
        <f t="shared" si="90"/>
        <v>258333.33333333334</v>
      </c>
      <c r="O388" s="200">
        <f t="shared" si="95"/>
        <v>279000</v>
      </c>
      <c r="P388" s="200"/>
      <c r="Q388" s="200">
        <f t="shared" si="89"/>
        <v>537333.33333333337</v>
      </c>
      <c r="R388" s="201">
        <f>'[1]NOV''25'!Q395+N388-V388</f>
        <v>3.4924596548080444E-10</v>
      </c>
      <c r="S388" s="201">
        <f>'[1]NOV''25'!R395+O388-W388</f>
        <v>0</v>
      </c>
      <c r="T388" s="201">
        <f>'[1]NOV''25'!S395+P388-X388</f>
        <v>0</v>
      </c>
      <c r="U388" s="200">
        <f t="shared" si="86"/>
        <v>3.4924596548080444E-10</v>
      </c>
      <c r="V388" s="202">
        <v>258333.33333333299</v>
      </c>
      <c r="W388" s="203">
        <v>279000</v>
      </c>
      <c r="X388" s="203"/>
      <c r="Y388" s="200">
        <f t="shared" si="92"/>
        <v>537333.33333333302</v>
      </c>
      <c r="Z388" s="207">
        <f t="shared" si="93"/>
        <v>6458333.666666667</v>
      </c>
      <c r="AA388" s="96"/>
      <c r="AB388" s="96" t="e">
        <f>#REF!-#REF!</f>
        <v>#REF!</v>
      </c>
    </row>
    <row r="389" spans="2:28" s="55" customFormat="1" x14ac:dyDescent="0.3">
      <c r="B389" s="191">
        <v>260</v>
      </c>
      <c r="C389" s="192"/>
      <c r="D389" s="192"/>
      <c r="E389" s="208">
        <v>45681</v>
      </c>
      <c r="F389" s="192" t="s">
        <v>585</v>
      </c>
      <c r="G389" s="209" t="s">
        <v>542</v>
      </c>
      <c r="H389" s="194">
        <v>10000000</v>
      </c>
      <c r="I389" s="224"/>
      <c r="J389" s="225">
        <f t="shared" si="88"/>
        <v>10.999999600000013</v>
      </c>
      <c r="K389" s="268">
        <v>36</v>
      </c>
      <c r="L389" s="198">
        <f t="shared" si="87"/>
        <v>0.30555554444444483</v>
      </c>
      <c r="M389" s="194">
        <v>7222222.3333333302</v>
      </c>
      <c r="N389" s="199">
        <f t="shared" si="90"/>
        <v>277777.77777777775</v>
      </c>
      <c r="O389" s="200">
        <f t="shared" si="95"/>
        <v>300000</v>
      </c>
      <c r="P389" s="200"/>
      <c r="Q389" s="200">
        <f t="shared" si="89"/>
        <v>577777.77777777775</v>
      </c>
      <c r="R389" s="201">
        <f>'[1]NOV''25'!Q396+N389-V389</f>
        <v>0</v>
      </c>
      <c r="S389" s="201">
        <f>'[1]NOV''25'!R396+O389-W389</f>
        <v>0</v>
      </c>
      <c r="T389" s="201">
        <f>'[1]NOV''25'!S396+P389-X389</f>
        <v>0</v>
      </c>
      <c r="U389" s="200">
        <f t="shared" si="86"/>
        <v>0</v>
      </c>
      <c r="V389" s="202">
        <v>277777.77777777798</v>
      </c>
      <c r="W389" s="203">
        <v>300000</v>
      </c>
      <c r="X389" s="203"/>
      <c r="Y389" s="200">
        <f t="shared" si="92"/>
        <v>577777.77777777798</v>
      </c>
      <c r="Z389" s="207">
        <f t="shared" si="93"/>
        <v>6944444.5555555522</v>
      </c>
      <c r="AA389" s="96"/>
      <c r="AB389" s="96" t="e">
        <f>#REF!-#REF!</f>
        <v>#REF!</v>
      </c>
    </row>
    <row r="390" spans="2:28" s="55" customFormat="1" x14ac:dyDescent="0.3">
      <c r="B390" s="191">
        <v>261</v>
      </c>
      <c r="C390" s="211" t="s">
        <v>586</v>
      </c>
      <c r="D390" s="212"/>
      <c r="E390" s="208">
        <v>45691</v>
      </c>
      <c r="F390" s="192" t="s">
        <v>587</v>
      </c>
      <c r="G390" s="209" t="s">
        <v>38</v>
      </c>
      <c r="H390" s="194">
        <v>2180000</v>
      </c>
      <c r="I390" s="224"/>
      <c r="J390" s="225">
        <f t="shared" si="88"/>
        <v>10.000012844036734</v>
      </c>
      <c r="K390" s="268">
        <v>36</v>
      </c>
      <c r="L390" s="198">
        <f t="shared" si="87"/>
        <v>0.27777813455657596</v>
      </c>
      <c r="M390" s="194">
        <v>1634999.2222222199</v>
      </c>
      <c r="N390" s="199">
        <f t="shared" si="90"/>
        <v>60555.555555555555</v>
      </c>
      <c r="O390" s="200">
        <f t="shared" si="95"/>
        <v>65400</v>
      </c>
      <c r="P390" s="200"/>
      <c r="Q390" s="200">
        <f t="shared" si="89"/>
        <v>125955.55555555556</v>
      </c>
      <c r="R390" s="201">
        <f>'[1]NOV''25'!Q397+N390-V390</f>
        <v>-0.44444444448890863</v>
      </c>
      <c r="S390" s="201">
        <f>'[1]NOV''25'!R397+O390-W390</f>
        <v>0</v>
      </c>
      <c r="T390" s="201">
        <f>'[1]NOV''25'!S397+P390-X390</f>
        <v>0</v>
      </c>
      <c r="U390" s="200">
        <f t="shared" si="86"/>
        <v>-0.44444444448890863</v>
      </c>
      <c r="V390" s="202">
        <v>60555.555555555598</v>
      </c>
      <c r="W390" s="203">
        <v>65400</v>
      </c>
      <c r="X390" s="203"/>
      <c r="Y390" s="200">
        <f t="shared" si="92"/>
        <v>125955.55555555559</v>
      </c>
      <c r="Z390" s="207">
        <f t="shared" si="93"/>
        <v>1574443.6666666644</v>
      </c>
      <c r="AA390" s="96"/>
      <c r="AB390" s="96" t="e">
        <f>#REF!-#REF!</f>
        <v>#REF!</v>
      </c>
    </row>
    <row r="391" spans="2:28" s="55" customFormat="1" x14ac:dyDescent="0.3">
      <c r="B391" s="191">
        <v>262</v>
      </c>
      <c r="C391" s="211" t="s">
        <v>588</v>
      </c>
      <c r="D391" s="212"/>
      <c r="E391" s="208">
        <v>45691</v>
      </c>
      <c r="F391" s="192" t="s">
        <v>589</v>
      </c>
      <c r="G391" s="209" t="s">
        <v>27</v>
      </c>
      <c r="H391" s="194">
        <v>3500000</v>
      </c>
      <c r="I391" s="224"/>
      <c r="J391" s="225">
        <f t="shared" si="88"/>
        <v>10.000003428571395</v>
      </c>
      <c r="K391" s="268">
        <v>36</v>
      </c>
      <c r="L391" s="198">
        <f t="shared" si="87"/>
        <v>0.27777787301587209</v>
      </c>
      <c r="M391" s="194">
        <v>2624999.6666666698</v>
      </c>
      <c r="N391" s="199">
        <f t="shared" si="90"/>
        <v>97222.222222222219</v>
      </c>
      <c r="O391" s="200">
        <f t="shared" si="95"/>
        <v>105000</v>
      </c>
      <c r="P391" s="200"/>
      <c r="Q391" s="200">
        <f t="shared" si="89"/>
        <v>202222.22222222222</v>
      </c>
      <c r="R391" s="201">
        <f>'[1]NOV''25'!Q398+N391-V391</f>
        <v>0</v>
      </c>
      <c r="S391" s="201">
        <f>'[1]NOV''25'!R398+O391-W391</f>
        <v>0</v>
      </c>
      <c r="T391" s="201">
        <f>'[1]NOV''25'!S398+P391-X391</f>
        <v>0</v>
      </c>
      <c r="U391" s="200">
        <f t="shared" ref="U391:U454" si="96">+R391+S391+T391</f>
        <v>0</v>
      </c>
      <c r="V391" s="202">
        <v>97222.222222222204</v>
      </c>
      <c r="W391" s="203">
        <v>105000</v>
      </c>
      <c r="X391" s="203"/>
      <c r="Y391" s="200">
        <f t="shared" si="92"/>
        <v>202222.22222222219</v>
      </c>
      <c r="Z391" s="207">
        <f t="shared" si="93"/>
        <v>2527777.4444444478</v>
      </c>
      <c r="AA391" s="96"/>
      <c r="AB391" s="96" t="e">
        <f>#REF!-#REF!</f>
        <v>#REF!</v>
      </c>
    </row>
    <row r="392" spans="2:28" s="55" customFormat="1" x14ac:dyDescent="0.3">
      <c r="B392" s="191">
        <v>263</v>
      </c>
      <c r="C392" s="211" t="s">
        <v>590</v>
      </c>
      <c r="D392" s="212"/>
      <c r="E392" s="208">
        <v>45691</v>
      </c>
      <c r="F392" s="192" t="s">
        <v>591</v>
      </c>
      <c r="G392" s="209" t="s">
        <v>27</v>
      </c>
      <c r="H392" s="194">
        <v>2500000</v>
      </c>
      <c r="I392" s="224"/>
      <c r="J392" s="225">
        <f t="shared" si="88"/>
        <v>9.9999952000000505</v>
      </c>
      <c r="K392" s="268">
        <v>36</v>
      </c>
      <c r="L392" s="198">
        <f t="shared" si="87"/>
        <v>0.27777764444444586</v>
      </c>
      <c r="M392" s="194">
        <v>1875000.33333333</v>
      </c>
      <c r="N392" s="199">
        <f t="shared" si="90"/>
        <v>69444.444444444438</v>
      </c>
      <c r="O392" s="200">
        <f t="shared" si="95"/>
        <v>75000</v>
      </c>
      <c r="P392" s="200"/>
      <c r="Q392" s="200">
        <f t="shared" si="89"/>
        <v>144444.44444444444</v>
      </c>
      <c r="R392" s="201">
        <f>'[1]NOV''25'!Q399+N392-V392</f>
        <v>0</v>
      </c>
      <c r="S392" s="201">
        <f>'[1]NOV''25'!R399+O392-W392</f>
        <v>0</v>
      </c>
      <c r="T392" s="201">
        <f>'[1]NOV''25'!S399+P392-X392</f>
        <v>0</v>
      </c>
      <c r="U392" s="200">
        <f t="shared" si="96"/>
        <v>0</v>
      </c>
      <c r="V392" s="202">
        <v>69444.444444444394</v>
      </c>
      <c r="W392" s="203">
        <v>75000</v>
      </c>
      <c r="X392" s="203"/>
      <c r="Y392" s="200">
        <f t="shared" si="92"/>
        <v>144444.44444444438</v>
      </c>
      <c r="Z392" s="207">
        <f t="shared" si="93"/>
        <v>1805555.8888888855</v>
      </c>
      <c r="AA392" s="96"/>
      <c r="AB392" s="96" t="e">
        <f>#REF!-#REF!</f>
        <v>#REF!</v>
      </c>
    </row>
    <row r="393" spans="2:28" s="55" customFormat="1" x14ac:dyDescent="0.3">
      <c r="B393" s="191">
        <v>264</v>
      </c>
      <c r="C393" s="211" t="s">
        <v>592</v>
      </c>
      <c r="D393" s="212"/>
      <c r="E393" s="208">
        <v>45691</v>
      </c>
      <c r="F393" s="192" t="s">
        <v>593</v>
      </c>
      <c r="G393" s="209" t="s">
        <v>594</v>
      </c>
      <c r="H393" s="194">
        <v>7100000</v>
      </c>
      <c r="I393" s="224"/>
      <c r="J393" s="225">
        <f t="shared" si="88"/>
        <v>10.000001690140829</v>
      </c>
      <c r="K393" s="268">
        <v>36</v>
      </c>
      <c r="L393" s="198">
        <f t="shared" si="87"/>
        <v>0.27777782472613416</v>
      </c>
      <c r="M393" s="194">
        <v>5324999.6666666698</v>
      </c>
      <c r="N393" s="199">
        <f t="shared" si="90"/>
        <v>197222.22222222222</v>
      </c>
      <c r="O393" s="200">
        <f t="shared" si="95"/>
        <v>213000</v>
      </c>
      <c r="P393" s="200"/>
      <c r="Q393" s="200">
        <f t="shared" si="89"/>
        <v>410222.22222222225</v>
      </c>
      <c r="R393" s="201">
        <f>'[1]NOV''25'!Q400+N393-V393</f>
        <v>2.3283064365386963E-10</v>
      </c>
      <c r="S393" s="201">
        <f>'[1]NOV''25'!R400+O393-W393</f>
        <v>0</v>
      </c>
      <c r="T393" s="201">
        <f>'[1]NOV''25'!S400+P393-X393</f>
        <v>0</v>
      </c>
      <c r="U393" s="200">
        <f t="shared" si="96"/>
        <v>2.3283064365386963E-10</v>
      </c>
      <c r="V393" s="202">
        <v>197222.22222222199</v>
      </c>
      <c r="W393" s="203">
        <v>213000</v>
      </c>
      <c r="X393" s="203"/>
      <c r="Y393" s="200">
        <f t="shared" si="92"/>
        <v>410222.22222222202</v>
      </c>
      <c r="Z393" s="207">
        <f t="shared" si="93"/>
        <v>5127777.4444444478</v>
      </c>
      <c r="AA393" s="96"/>
      <c r="AB393" s="96" t="e">
        <f>#REF!-#REF!</f>
        <v>#REF!</v>
      </c>
    </row>
    <row r="394" spans="2:28" s="55" customFormat="1" x14ac:dyDescent="0.3">
      <c r="B394" s="191">
        <v>265</v>
      </c>
      <c r="C394" s="211" t="s">
        <v>595</v>
      </c>
      <c r="D394" s="212"/>
      <c r="E394" s="208">
        <v>45692</v>
      </c>
      <c r="F394" s="192" t="s">
        <v>596</v>
      </c>
      <c r="G394" s="209" t="s">
        <v>191</v>
      </c>
      <c r="H394" s="194">
        <v>6520000</v>
      </c>
      <c r="I394" s="224"/>
      <c r="J394" s="225">
        <f t="shared" si="88"/>
        <v>9.999998159509218</v>
      </c>
      <c r="K394" s="268">
        <v>36</v>
      </c>
      <c r="L394" s="198">
        <f t="shared" si="87"/>
        <v>0.27777772665303385</v>
      </c>
      <c r="M394" s="194">
        <v>4890000.3333333302</v>
      </c>
      <c r="N394" s="199">
        <f t="shared" si="90"/>
        <v>181111.11111111112</v>
      </c>
      <c r="O394" s="200">
        <f t="shared" si="95"/>
        <v>195600</v>
      </c>
      <c r="P394" s="200"/>
      <c r="Q394" s="200">
        <f t="shared" si="89"/>
        <v>376711.11111111112</v>
      </c>
      <c r="R394" s="201">
        <f>'[1]NOV''25'!Q401+N394-V394</f>
        <v>0</v>
      </c>
      <c r="S394" s="201">
        <f>'[1]NOV''25'!R401+O394-W394</f>
        <v>0</v>
      </c>
      <c r="T394" s="201">
        <f>'[1]NOV''25'!S401+P394-X394</f>
        <v>0</v>
      </c>
      <c r="U394" s="200">
        <f t="shared" si="96"/>
        <v>0</v>
      </c>
      <c r="V394" s="202">
        <v>181111.11111111101</v>
      </c>
      <c r="W394" s="203">
        <v>195600</v>
      </c>
      <c r="X394" s="203"/>
      <c r="Y394" s="200">
        <f t="shared" si="92"/>
        <v>376711.11111111101</v>
      </c>
      <c r="Z394" s="207">
        <f t="shared" si="93"/>
        <v>4708889.2222222192</v>
      </c>
      <c r="AA394" s="96"/>
      <c r="AB394" s="96" t="e">
        <f>#REF!-#REF!</f>
        <v>#REF!</v>
      </c>
    </row>
    <row r="395" spans="2:28" s="55" customFormat="1" x14ac:dyDescent="0.3">
      <c r="B395" s="191">
        <v>266</v>
      </c>
      <c r="C395" s="211" t="s">
        <v>597</v>
      </c>
      <c r="D395" s="212"/>
      <c r="E395" s="208">
        <v>45692</v>
      </c>
      <c r="F395" s="192" t="s">
        <v>598</v>
      </c>
      <c r="G395" s="209" t="s">
        <v>599</v>
      </c>
      <c r="H395" s="194">
        <v>13690000</v>
      </c>
      <c r="I395" s="224"/>
      <c r="J395" s="225">
        <f t="shared" si="88"/>
        <v>9.9999997078159524</v>
      </c>
      <c r="K395" s="268">
        <v>36</v>
      </c>
      <c r="L395" s="198">
        <f t="shared" si="87"/>
        <v>0.27777776966155421</v>
      </c>
      <c r="M395" s="194">
        <v>10267500.111111101</v>
      </c>
      <c r="N395" s="199">
        <f t="shared" si="90"/>
        <v>380277.77777777775</v>
      </c>
      <c r="O395" s="200">
        <f t="shared" si="95"/>
        <v>410700</v>
      </c>
      <c r="P395" s="200"/>
      <c r="Q395" s="200">
        <f t="shared" si="89"/>
        <v>790977.77777777775</v>
      </c>
      <c r="R395" s="201">
        <f>'[1]NOV''25'!Q402+N395-V395</f>
        <v>-0.22222222248092294</v>
      </c>
      <c r="S395" s="201">
        <f>'[1]NOV''25'!R402+O395-W395</f>
        <v>0</v>
      </c>
      <c r="T395" s="201">
        <f>'[1]NOV''25'!S402+P395-X395</f>
        <v>0</v>
      </c>
      <c r="U395" s="200">
        <f t="shared" si="96"/>
        <v>-0.22222222248092294</v>
      </c>
      <c r="V395" s="202">
        <v>380277.77777777798</v>
      </c>
      <c r="W395" s="203">
        <v>410700</v>
      </c>
      <c r="X395" s="203"/>
      <c r="Y395" s="200">
        <f t="shared" si="92"/>
        <v>790977.77777777798</v>
      </c>
      <c r="Z395" s="207">
        <f t="shared" si="93"/>
        <v>9887222.3333333228</v>
      </c>
      <c r="AA395" s="96"/>
      <c r="AB395" s="96" t="e">
        <f>#REF!-#REF!</f>
        <v>#REF!</v>
      </c>
    </row>
    <row r="396" spans="2:28" s="55" customFormat="1" x14ac:dyDescent="0.3">
      <c r="B396" s="191">
        <v>267</v>
      </c>
      <c r="C396" s="211" t="s">
        <v>600</v>
      </c>
      <c r="D396" s="212"/>
      <c r="E396" s="208">
        <v>45692</v>
      </c>
      <c r="F396" s="192" t="s">
        <v>601</v>
      </c>
      <c r="G396" s="209" t="s">
        <v>38</v>
      </c>
      <c r="H396" s="194">
        <v>2880000</v>
      </c>
      <c r="I396" s="224"/>
      <c r="J396" s="225">
        <f t="shared" si="88"/>
        <v>10</v>
      </c>
      <c r="K396" s="268">
        <v>36</v>
      </c>
      <c r="L396" s="198">
        <f t="shared" si="87"/>
        <v>0.27777777777777779</v>
      </c>
      <c r="M396" s="194">
        <v>2163553</v>
      </c>
      <c r="N396" s="199">
        <f t="shared" si="90"/>
        <v>80000</v>
      </c>
      <c r="O396" s="200">
        <f t="shared" si="95"/>
        <v>86400</v>
      </c>
      <c r="P396" s="200"/>
      <c r="Q396" s="200">
        <f t="shared" si="89"/>
        <v>166400</v>
      </c>
      <c r="R396" s="201">
        <f>'[1]NOV''25'!Q403+N396-V396</f>
        <v>0</v>
      </c>
      <c r="S396" s="201">
        <f>'[1]NOV''25'!R403+O396-W396</f>
        <v>0</v>
      </c>
      <c r="T396" s="201">
        <f>'[1]NOV''25'!S403+P396-X396</f>
        <v>0</v>
      </c>
      <c r="U396" s="200">
        <f t="shared" si="96"/>
        <v>0</v>
      </c>
      <c r="V396" s="202">
        <f>80000+3553</f>
        <v>83553</v>
      </c>
      <c r="W396" s="203">
        <v>86400</v>
      </c>
      <c r="X396" s="203"/>
      <c r="Y396" s="200">
        <f t="shared" si="92"/>
        <v>169953</v>
      </c>
      <c r="Z396" s="207">
        <f t="shared" si="93"/>
        <v>2080000</v>
      </c>
      <c r="AA396" s="96"/>
      <c r="AB396" s="96" t="e">
        <f>#REF!-#REF!</f>
        <v>#REF!</v>
      </c>
    </row>
    <row r="397" spans="2:28" s="55" customFormat="1" x14ac:dyDescent="0.3">
      <c r="B397" s="191">
        <v>268</v>
      </c>
      <c r="C397" s="211" t="s">
        <v>602</v>
      </c>
      <c r="D397" s="212"/>
      <c r="E397" s="208">
        <v>45692</v>
      </c>
      <c r="F397" s="192" t="s">
        <v>603</v>
      </c>
      <c r="G397" s="209" t="s">
        <v>594</v>
      </c>
      <c r="H397" s="194">
        <v>10050000</v>
      </c>
      <c r="I397" s="224"/>
      <c r="J397" s="225">
        <f t="shared" si="88"/>
        <v>10.00000119402984</v>
      </c>
      <c r="K397" s="268">
        <v>36</v>
      </c>
      <c r="L397" s="198">
        <f t="shared" ref="L397:L460" si="97">J397/K397</f>
        <v>0.27777781094527332</v>
      </c>
      <c r="M397" s="194">
        <v>7537499.6666666698</v>
      </c>
      <c r="N397" s="199">
        <f t="shared" si="90"/>
        <v>279166.66666666669</v>
      </c>
      <c r="O397" s="200">
        <f t="shared" si="95"/>
        <v>301500</v>
      </c>
      <c r="P397" s="200"/>
      <c r="Q397" s="200">
        <f t="shared" si="89"/>
        <v>580666.66666666674</v>
      </c>
      <c r="R397" s="201">
        <f>'[1]NOV''25'!Q404+N397-V397</f>
        <v>-0.33333333360496908</v>
      </c>
      <c r="S397" s="201">
        <f>'[1]NOV''25'!R404+O397-W397</f>
        <v>0</v>
      </c>
      <c r="T397" s="201">
        <f>'[1]NOV''25'!S404+P397-X397</f>
        <v>0</v>
      </c>
      <c r="U397" s="200">
        <f t="shared" si="96"/>
        <v>-0.33333333360496908</v>
      </c>
      <c r="V397" s="202">
        <v>279166.66666666698</v>
      </c>
      <c r="W397" s="203">
        <v>301500</v>
      </c>
      <c r="X397" s="203"/>
      <c r="Y397" s="200">
        <f t="shared" si="92"/>
        <v>580666.66666666698</v>
      </c>
      <c r="Z397" s="207">
        <f t="shared" si="93"/>
        <v>7258333.0000000028</v>
      </c>
      <c r="AA397" s="96"/>
      <c r="AB397" s="96" t="e">
        <f>#REF!-#REF!</f>
        <v>#REF!</v>
      </c>
    </row>
    <row r="398" spans="2:28" s="55" customFormat="1" x14ac:dyDescent="0.3">
      <c r="B398" s="191">
        <v>269</v>
      </c>
      <c r="C398" s="211" t="s">
        <v>604</v>
      </c>
      <c r="D398" s="212"/>
      <c r="E398" s="208">
        <v>45692</v>
      </c>
      <c r="F398" s="192" t="s">
        <v>605</v>
      </c>
      <c r="G398" s="209" t="s">
        <v>48</v>
      </c>
      <c r="H398" s="194">
        <v>5000000</v>
      </c>
      <c r="I398" s="224"/>
      <c r="J398" s="225">
        <f t="shared" si="88"/>
        <v>9.9999999999999982</v>
      </c>
      <c r="K398" s="213">
        <v>24</v>
      </c>
      <c r="L398" s="198">
        <f t="shared" si="97"/>
        <v>0.41666666666666657</v>
      </c>
      <c r="M398" s="194">
        <v>3125000</v>
      </c>
      <c r="N398" s="199">
        <f t="shared" si="90"/>
        <v>208333.33333333334</v>
      </c>
      <c r="O398" s="200">
        <f t="shared" si="95"/>
        <v>150000</v>
      </c>
      <c r="P398" s="200"/>
      <c r="Q398" s="200">
        <f t="shared" si="89"/>
        <v>358333.33333333337</v>
      </c>
      <c r="R398" s="201">
        <f>'[1]NOV''25'!Q405+N398-V398</f>
        <v>3.4924596548080444E-10</v>
      </c>
      <c r="S398" s="201">
        <f>'[1]NOV''25'!R405+O398-W398</f>
        <v>0</v>
      </c>
      <c r="T398" s="201">
        <f>'[1]NOV''25'!S405+P398-X398</f>
        <v>0</v>
      </c>
      <c r="U398" s="200">
        <f t="shared" si="96"/>
        <v>3.4924596548080444E-10</v>
      </c>
      <c r="V398" s="202">
        <v>208333.33333333299</v>
      </c>
      <c r="W398" s="203">
        <v>150000</v>
      </c>
      <c r="X398" s="203"/>
      <c r="Y398" s="200">
        <f t="shared" si="92"/>
        <v>358333.33333333302</v>
      </c>
      <c r="Z398" s="207">
        <f t="shared" si="93"/>
        <v>2916666.666666667</v>
      </c>
      <c r="AA398" s="96"/>
      <c r="AB398" s="96" t="e">
        <f>#REF!-#REF!</f>
        <v>#REF!</v>
      </c>
    </row>
    <row r="399" spans="2:28" s="55" customFormat="1" x14ac:dyDescent="0.3">
      <c r="B399" s="191">
        <v>270</v>
      </c>
      <c r="C399" s="211" t="s">
        <v>606</v>
      </c>
      <c r="D399" s="212"/>
      <c r="E399" s="208">
        <v>45693</v>
      </c>
      <c r="F399" s="192" t="s">
        <v>607</v>
      </c>
      <c r="G399" s="209" t="s">
        <v>608</v>
      </c>
      <c r="H399" s="194">
        <v>5200000</v>
      </c>
      <c r="I399" s="224"/>
      <c r="J399" s="225">
        <f t="shared" si="88"/>
        <v>9.9999946153845993</v>
      </c>
      <c r="K399" s="268">
        <v>36</v>
      </c>
      <c r="L399" s="198">
        <f t="shared" si="97"/>
        <v>0.27777762820512775</v>
      </c>
      <c r="M399" s="194">
        <v>3900000.7777777798</v>
      </c>
      <c r="N399" s="199">
        <f t="shared" si="90"/>
        <v>144444.44444444444</v>
      </c>
      <c r="O399" s="200">
        <f t="shared" si="95"/>
        <v>156000</v>
      </c>
      <c r="P399" s="200"/>
      <c r="Q399" s="200">
        <f t="shared" si="89"/>
        <v>300444.44444444444</v>
      </c>
      <c r="R399" s="201">
        <f>'[1]NOV''25'!Q406+N399-V399</f>
        <v>0.44444444487453438</v>
      </c>
      <c r="S399" s="201">
        <f>'[1]NOV''25'!R406+O399-W399</f>
        <v>0</v>
      </c>
      <c r="T399" s="201">
        <f>'[1]NOV''25'!S406+P399-X399</f>
        <v>0</v>
      </c>
      <c r="U399" s="200">
        <f t="shared" si="96"/>
        <v>0.44444444487453438</v>
      </c>
      <c r="V399" s="202">
        <v>144444.444444444</v>
      </c>
      <c r="W399" s="203">
        <v>156000</v>
      </c>
      <c r="X399" s="203"/>
      <c r="Y399" s="200">
        <f t="shared" si="92"/>
        <v>300444.44444444403</v>
      </c>
      <c r="Z399" s="207">
        <f t="shared" si="93"/>
        <v>3755556.3333333358</v>
      </c>
      <c r="AA399" s="96"/>
      <c r="AB399" s="96" t="e">
        <f>#REF!-#REF!</f>
        <v>#REF!</v>
      </c>
    </row>
    <row r="400" spans="2:28" s="55" customFormat="1" x14ac:dyDescent="0.3">
      <c r="B400" s="191">
        <v>271</v>
      </c>
      <c r="C400" s="211" t="s">
        <v>609</v>
      </c>
      <c r="D400" s="212"/>
      <c r="E400" s="208">
        <v>45693</v>
      </c>
      <c r="F400" s="192" t="s">
        <v>610</v>
      </c>
      <c r="G400" s="209" t="s">
        <v>608</v>
      </c>
      <c r="H400" s="194">
        <v>6000000</v>
      </c>
      <c r="I400" s="224"/>
      <c r="J400" s="225">
        <f t="shared" si="88"/>
        <v>10</v>
      </c>
      <c r="K400" s="213">
        <v>24</v>
      </c>
      <c r="L400" s="198">
        <f t="shared" si="97"/>
        <v>0.41666666666666669</v>
      </c>
      <c r="M400" s="194">
        <v>4000000</v>
      </c>
      <c r="N400" s="199">
        <f t="shared" si="90"/>
        <v>250000</v>
      </c>
      <c r="O400" s="200">
        <f t="shared" si="95"/>
        <v>180000</v>
      </c>
      <c r="P400" s="200"/>
      <c r="Q400" s="200">
        <f t="shared" si="89"/>
        <v>430000</v>
      </c>
      <c r="R400" s="201">
        <f>'[1]NOV''25'!Q407+N400-V400</f>
        <v>0</v>
      </c>
      <c r="S400" s="201">
        <f>'[1]NOV''25'!R407+O400-W400</f>
        <v>0</v>
      </c>
      <c r="T400" s="201">
        <f>'[1]NOV''25'!S407+P400-X400</f>
        <v>0</v>
      </c>
      <c r="U400" s="200">
        <f t="shared" si="96"/>
        <v>0</v>
      </c>
      <c r="V400" s="202">
        <f>250000+250000</f>
        <v>500000</v>
      </c>
      <c r="W400" s="203">
        <f>180000+180000</f>
        <v>360000</v>
      </c>
      <c r="X400" s="203"/>
      <c r="Y400" s="200">
        <f t="shared" si="92"/>
        <v>860000</v>
      </c>
      <c r="Z400" s="207">
        <f t="shared" si="93"/>
        <v>3500000</v>
      </c>
      <c r="AA400" s="96"/>
      <c r="AB400" s="96" t="e">
        <f>#REF!-#REF!</f>
        <v>#REF!</v>
      </c>
    </row>
    <row r="401" spans="2:28" s="55" customFormat="1" x14ac:dyDescent="0.3">
      <c r="B401" s="191">
        <v>272</v>
      </c>
      <c r="C401" s="211" t="s">
        <v>611</v>
      </c>
      <c r="D401" s="212"/>
      <c r="E401" s="208">
        <v>45693</v>
      </c>
      <c r="F401" s="192" t="s">
        <v>612</v>
      </c>
      <c r="G401" s="209" t="s">
        <v>599</v>
      </c>
      <c r="H401" s="194">
        <v>8210000</v>
      </c>
      <c r="I401" s="224"/>
      <c r="J401" s="225">
        <f t="shared" si="88"/>
        <v>10.000001412911091</v>
      </c>
      <c r="K401" s="268">
        <v>36</v>
      </c>
      <c r="L401" s="198">
        <f t="shared" si="97"/>
        <v>0.27777781702530807</v>
      </c>
      <c r="M401" s="194">
        <v>6385555.2222222202</v>
      </c>
      <c r="N401" s="199">
        <f t="shared" si="90"/>
        <v>228055.55555555556</v>
      </c>
      <c r="O401" s="200">
        <f t="shared" si="95"/>
        <v>246300</v>
      </c>
      <c r="P401" s="200"/>
      <c r="Q401" s="200">
        <f t="shared" si="89"/>
        <v>474355.55555555556</v>
      </c>
      <c r="R401" s="201">
        <f>'[1]NOV''25'!Q408+N401-V401</f>
        <v>1.1111111612990499E-2</v>
      </c>
      <c r="S401" s="201">
        <f>'[1]NOV''25'!R408+O401-W401</f>
        <v>0</v>
      </c>
      <c r="T401" s="201">
        <f>'[1]NOV''25'!S408+P401-X401</f>
        <v>0</v>
      </c>
      <c r="U401" s="200">
        <f t="shared" si="96"/>
        <v>1.1111111612990499E-2</v>
      </c>
      <c r="V401" s="202">
        <f>228055.55+228055.55</f>
        <v>456111.1</v>
      </c>
      <c r="W401" s="203">
        <f>246300+246300</f>
        <v>492600</v>
      </c>
      <c r="X401" s="203"/>
      <c r="Y401" s="200">
        <f t="shared" si="92"/>
        <v>948711.1</v>
      </c>
      <c r="Z401" s="207">
        <f t="shared" si="93"/>
        <v>5929444.1222222205</v>
      </c>
      <c r="AA401" s="96"/>
      <c r="AB401" s="96" t="e">
        <f>#REF!-#REF!</f>
        <v>#REF!</v>
      </c>
    </row>
    <row r="402" spans="2:28" s="55" customFormat="1" x14ac:dyDescent="0.3">
      <c r="B402" s="191">
        <v>273</v>
      </c>
      <c r="C402" s="211" t="s">
        <v>613</v>
      </c>
      <c r="D402" s="212"/>
      <c r="E402" s="208">
        <v>45694</v>
      </c>
      <c r="F402" s="192" t="s">
        <v>614</v>
      </c>
      <c r="G402" s="209" t="s">
        <v>117</v>
      </c>
      <c r="H402" s="194">
        <v>3340000</v>
      </c>
      <c r="I402" s="224"/>
      <c r="J402" s="225">
        <f t="shared" si="88"/>
        <v>10.00000239520956</v>
      </c>
      <c r="K402" s="213">
        <v>24</v>
      </c>
      <c r="L402" s="198">
        <f t="shared" si="97"/>
        <v>0.41666676646706496</v>
      </c>
      <c r="M402" s="194">
        <v>2087499.66666667</v>
      </c>
      <c r="N402" s="199">
        <f t="shared" si="90"/>
        <v>139166.66666666666</v>
      </c>
      <c r="O402" s="200">
        <f t="shared" si="95"/>
        <v>100200</v>
      </c>
      <c r="P402" s="200"/>
      <c r="Q402" s="200">
        <f t="shared" si="89"/>
        <v>239366.66666666666</v>
      </c>
      <c r="R402" s="201">
        <f>'[1]NOV''25'!Q409+N402-V402</f>
        <v>-0.33333333369228058</v>
      </c>
      <c r="S402" s="201">
        <f>'[1]NOV''25'!R409+O402-W402</f>
        <v>0</v>
      </c>
      <c r="T402" s="201">
        <f>'[1]NOV''25'!S409+P402-X402</f>
        <v>0</v>
      </c>
      <c r="U402" s="200">
        <f t="shared" si="96"/>
        <v>-0.33333333369228058</v>
      </c>
      <c r="V402" s="202">
        <v>139166.66666666701</v>
      </c>
      <c r="W402" s="203">
        <v>100200</v>
      </c>
      <c r="X402" s="203"/>
      <c r="Y402" s="200">
        <f t="shared" si="92"/>
        <v>239366.66666666701</v>
      </c>
      <c r="Z402" s="207">
        <f t="shared" si="93"/>
        <v>1948333.000000003</v>
      </c>
      <c r="AA402" s="96"/>
      <c r="AB402" s="96" t="e">
        <f>#REF!-#REF!</f>
        <v>#REF!</v>
      </c>
    </row>
    <row r="403" spans="2:28" s="265" customFormat="1" x14ac:dyDescent="0.3">
      <c r="B403" s="250">
        <v>274</v>
      </c>
      <c r="C403" s="270" t="s">
        <v>615</v>
      </c>
      <c r="D403" s="271"/>
      <c r="E403" s="252">
        <v>45694</v>
      </c>
      <c r="F403" s="251" t="s">
        <v>616</v>
      </c>
      <c r="G403" s="253" t="s">
        <v>608</v>
      </c>
      <c r="H403" s="254">
        <v>6200000</v>
      </c>
      <c r="I403" s="255"/>
      <c r="J403" s="256">
        <f t="shared" ref="J403:J466" si="98">(H403-Z403)/N403</f>
        <v>10.000001935483851</v>
      </c>
      <c r="K403" s="267">
        <v>36</v>
      </c>
      <c r="L403" s="258">
        <f t="shared" si="97"/>
        <v>0.2777778315412181</v>
      </c>
      <c r="M403" s="254">
        <v>4649999.6666666698</v>
      </c>
      <c r="N403" s="259">
        <f t="shared" si="90"/>
        <v>172222.22222222222</v>
      </c>
      <c r="O403" s="260">
        <f t="shared" si="95"/>
        <v>186000</v>
      </c>
      <c r="P403" s="260"/>
      <c r="Q403" s="260">
        <f t="shared" ref="Q403:Q466" si="99">+N403+O403</f>
        <v>358222.22222222225</v>
      </c>
      <c r="R403" s="201">
        <f>'[1]NOV''25'!Q410+N403-V403</f>
        <v>2.3283064365386963E-10</v>
      </c>
      <c r="S403" s="201">
        <f>'[1]NOV''25'!R410+O403-W403</f>
        <v>0</v>
      </c>
      <c r="T403" s="201">
        <f>'[1]NOV''25'!S410+P403-X403</f>
        <v>0</v>
      </c>
      <c r="U403" s="260">
        <f t="shared" si="96"/>
        <v>2.3283064365386963E-10</v>
      </c>
      <c r="V403" s="261">
        <v>172222.22222222199</v>
      </c>
      <c r="W403" s="262">
        <v>186000</v>
      </c>
      <c r="X403" s="262"/>
      <c r="Y403" s="260">
        <f t="shared" si="92"/>
        <v>358222.22222222202</v>
      </c>
      <c r="Z403" s="263">
        <f t="shared" si="93"/>
        <v>4477777.4444444478</v>
      </c>
      <c r="AA403" s="272" t="s">
        <v>502</v>
      </c>
      <c r="AB403" s="96" t="e">
        <f>#REF!-#REF!</f>
        <v>#REF!</v>
      </c>
    </row>
    <row r="404" spans="2:28" s="55" customFormat="1" x14ac:dyDescent="0.3">
      <c r="B404" s="191">
        <v>275</v>
      </c>
      <c r="C404" s="211" t="s">
        <v>617</v>
      </c>
      <c r="D404" s="212"/>
      <c r="E404" s="208">
        <v>45694</v>
      </c>
      <c r="F404" s="192" t="s">
        <v>618</v>
      </c>
      <c r="G404" s="209" t="s">
        <v>106</v>
      </c>
      <c r="H404" s="194">
        <v>6400000</v>
      </c>
      <c r="I404" s="224"/>
      <c r="J404" s="225">
        <f t="shared" si="98"/>
        <v>9.9999993750000069</v>
      </c>
      <c r="K404" s="268">
        <v>36</v>
      </c>
      <c r="L404" s="198">
        <f t="shared" si="97"/>
        <v>0.27777776041666685</v>
      </c>
      <c r="M404" s="194">
        <v>4977778.1111111101</v>
      </c>
      <c r="N404" s="199">
        <f t="shared" ref="N404:N467" si="100">SUM(H404/K404)</f>
        <v>177777.77777777778</v>
      </c>
      <c r="O404" s="200">
        <f t="shared" si="95"/>
        <v>192000</v>
      </c>
      <c r="P404" s="200"/>
      <c r="Q404" s="200">
        <f t="shared" si="99"/>
        <v>369777.77777777775</v>
      </c>
      <c r="R404" s="201">
        <f>'[1]NOV''25'!Q411+N404-V404</f>
        <v>-0.22222222218988463</v>
      </c>
      <c r="S404" s="201">
        <f>'[1]NOV''25'!R411+O404-W404</f>
        <v>0</v>
      </c>
      <c r="T404" s="201">
        <f>'[1]NOV''25'!S411+P404-X404</f>
        <v>0</v>
      </c>
      <c r="U404" s="200">
        <f t="shared" si="96"/>
        <v>-0.22222222218988463</v>
      </c>
      <c r="V404" s="202">
        <f>177777.777777778+177778</f>
        <v>355555.77777777798</v>
      </c>
      <c r="W404" s="203">
        <f>192000+59330</f>
        <v>251330</v>
      </c>
      <c r="X404" s="203"/>
      <c r="Y404" s="200">
        <f t="shared" ref="Y404:Y467" si="101">+V404+W404+X404</f>
        <v>606885.77777777798</v>
      </c>
      <c r="Z404" s="207">
        <f t="shared" ref="Z404:Z462" si="102">SUM(M404-V404)</f>
        <v>4622222.3333333321</v>
      </c>
      <c r="AA404" s="96"/>
      <c r="AB404" s="96" t="e">
        <f>#REF!-#REF!</f>
        <v>#REF!</v>
      </c>
    </row>
    <row r="405" spans="2:28" s="55" customFormat="1" x14ac:dyDescent="0.3">
      <c r="B405" s="191">
        <v>276</v>
      </c>
      <c r="C405" s="192" t="s">
        <v>619</v>
      </c>
      <c r="D405" s="192"/>
      <c r="E405" s="208">
        <v>45695</v>
      </c>
      <c r="F405" s="192" t="s">
        <v>620</v>
      </c>
      <c r="G405" s="209" t="s">
        <v>33</v>
      </c>
      <c r="H405" s="194">
        <v>17400000</v>
      </c>
      <c r="I405" s="224"/>
      <c r="J405" s="225">
        <f t="shared" si="98"/>
        <v>10</v>
      </c>
      <c r="K405" s="213">
        <v>24</v>
      </c>
      <c r="L405" s="198">
        <f t="shared" si="97"/>
        <v>0.41666666666666669</v>
      </c>
      <c r="M405" s="194">
        <v>10875000</v>
      </c>
      <c r="N405" s="199">
        <f t="shared" si="100"/>
        <v>725000</v>
      </c>
      <c r="O405" s="200">
        <f t="shared" si="95"/>
        <v>522000</v>
      </c>
      <c r="P405" s="200"/>
      <c r="Q405" s="200">
        <f t="shared" si="99"/>
        <v>1247000</v>
      </c>
      <c r="R405" s="201">
        <f>'[1]NOV''25'!Q412+N405-V405</f>
        <v>0</v>
      </c>
      <c r="S405" s="201">
        <f>'[1]NOV''25'!R412+O405-W405</f>
        <v>0</v>
      </c>
      <c r="T405" s="201">
        <f>'[1]NOV''25'!S412+P405-X405</f>
        <v>0</v>
      </c>
      <c r="U405" s="200">
        <f t="shared" si="96"/>
        <v>0</v>
      </c>
      <c r="V405" s="202">
        <v>725000</v>
      </c>
      <c r="W405" s="203">
        <v>522000</v>
      </c>
      <c r="X405" s="203"/>
      <c r="Y405" s="200">
        <f t="shared" si="101"/>
        <v>1247000</v>
      </c>
      <c r="Z405" s="207">
        <f t="shared" si="102"/>
        <v>10150000</v>
      </c>
      <c r="AA405" s="96"/>
      <c r="AB405" s="96" t="e">
        <f>#REF!-#REF!</f>
        <v>#REF!</v>
      </c>
    </row>
    <row r="406" spans="2:28" s="55" customFormat="1" x14ac:dyDescent="0.3">
      <c r="B406" s="191">
        <v>277</v>
      </c>
      <c r="C406" s="192" t="s">
        <v>621</v>
      </c>
      <c r="D406" s="192"/>
      <c r="E406" s="208">
        <v>45698</v>
      </c>
      <c r="F406" s="192" t="s">
        <v>622</v>
      </c>
      <c r="G406" s="209" t="s">
        <v>623</v>
      </c>
      <c r="H406" s="194">
        <v>6400000</v>
      </c>
      <c r="I406" s="224"/>
      <c r="J406" s="225">
        <f t="shared" si="98"/>
        <v>10</v>
      </c>
      <c r="K406" s="213">
        <v>24</v>
      </c>
      <c r="L406" s="198">
        <f t="shared" si="97"/>
        <v>0.41666666666666669</v>
      </c>
      <c r="M406" s="194">
        <v>4000000</v>
      </c>
      <c r="N406" s="199">
        <f t="shared" si="100"/>
        <v>266666.66666666669</v>
      </c>
      <c r="O406" s="200">
        <f t="shared" si="95"/>
        <v>192000</v>
      </c>
      <c r="P406" s="200"/>
      <c r="Q406" s="200">
        <f t="shared" si="99"/>
        <v>458666.66666666669</v>
      </c>
      <c r="R406" s="201">
        <f>'[1]NOV''25'!Q413+N406-V406</f>
        <v>0</v>
      </c>
      <c r="S406" s="201">
        <f>'[1]NOV''25'!R413+O406-W406</f>
        <v>0</v>
      </c>
      <c r="T406" s="201">
        <f>'[1]NOV''25'!S413+P406-X406</f>
        <v>0</v>
      </c>
      <c r="U406" s="200">
        <f t="shared" si="96"/>
        <v>0</v>
      </c>
      <c r="V406" s="202">
        <v>266666.66666666698</v>
      </c>
      <c r="W406" s="203">
        <v>192000</v>
      </c>
      <c r="X406" s="203"/>
      <c r="Y406" s="200">
        <f t="shared" si="101"/>
        <v>458666.66666666698</v>
      </c>
      <c r="Z406" s="207">
        <f t="shared" si="102"/>
        <v>3733333.333333333</v>
      </c>
      <c r="AA406" s="96"/>
      <c r="AB406" s="96" t="e">
        <f>#REF!-#REF!</f>
        <v>#REF!</v>
      </c>
    </row>
    <row r="407" spans="2:28" s="55" customFormat="1" x14ac:dyDescent="0.3">
      <c r="B407" s="191">
        <v>278</v>
      </c>
      <c r="C407" s="205" t="s">
        <v>624</v>
      </c>
      <c r="D407" s="192"/>
      <c r="E407" s="208">
        <v>45699</v>
      </c>
      <c r="F407" s="192" t="s">
        <v>625</v>
      </c>
      <c r="G407" s="209" t="s">
        <v>38</v>
      </c>
      <c r="H407" s="194">
        <v>3530000</v>
      </c>
      <c r="I407" s="224"/>
      <c r="J407" s="225">
        <f t="shared" si="98"/>
        <v>10.000003399433394</v>
      </c>
      <c r="K407" s="268">
        <v>36</v>
      </c>
      <c r="L407" s="198">
        <f t="shared" si="97"/>
        <v>0.2777778722064832</v>
      </c>
      <c r="M407" s="194">
        <v>2647499.6666666698</v>
      </c>
      <c r="N407" s="199">
        <f t="shared" si="100"/>
        <v>98055.555555555562</v>
      </c>
      <c r="O407" s="200">
        <f t="shared" si="95"/>
        <v>105900</v>
      </c>
      <c r="P407" s="200"/>
      <c r="Q407" s="200">
        <f t="shared" si="99"/>
        <v>203955.55555555556</v>
      </c>
      <c r="R407" s="201">
        <f>'[1]NOV''25'!Q414+N407-V407</f>
        <v>0</v>
      </c>
      <c r="S407" s="201">
        <f>'[1]NOV''25'!R414+O407-W407</f>
        <v>0</v>
      </c>
      <c r="T407" s="201">
        <f>'[1]NOV''25'!S414+P407-X407</f>
        <v>0</v>
      </c>
      <c r="U407" s="200">
        <f t="shared" si="96"/>
        <v>0</v>
      </c>
      <c r="V407" s="202">
        <v>98055.555555555606</v>
      </c>
      <c r="W407" s="203">
        <v>105900</v>
      </c>
      <c r="X407" s="203"/>
      <c r="Y407" s="200">
        <f t="shared" si="101"/>
        <v>203955.55555555562</v>
      </c>
      <c r="Z407" s="207">
        <f t="shared" si="102"/>
        <v>2549444.1111111143</v>
      </c>
      <c r="AA407" s="96"/>
      <c r="AB407" s="96" t="e">
        <f>#REF!-#REF!</f>
        <v>#REF!</v>
      </c>
    </row>
    <row r="408" spans="2:28" s="55" customFormat="1" x14ac:dyDescent="0.3">
      <c r="B408" s="191">
        <v>279</v>
      </c>
      <c r="C408" s="205" t="s">
        <v>156</v>
      </c>
      <c r="D408" s="192"/>
      <c r="E408" s="208">
        <v>45701</v>
      </c>
      <c r="F408" s="192" t="s">
        <v>157</v>
      </c>
      <c r="G408" s="209" t="s">
        <v>84</v>
      </c>
      <c r="H408" s="194">
        <v>10000000</v>
      </c>
      <c r="I408" s="224"/>
      <c r="J408" s="225">
        <f t="shared" si="98"/>
        <v>10.000000799999993</v>
      </c>
      <c r="K408" s="213">
        <v>24</v>
      </c>
      <c r="L408" s="198">
        <f t="shared" si="97"/>
        <v>0.41666669999999972</v>
      </c>
      <c r="M408" s="194">
        <v>6249999.6666666698</v>
      </c>
      <c r="N408" s="199">
        <f t="shared" si="100"/>
        <v>416666.66666666669</v>
      </c>
      <c r="O408" s="200">
        <f t="shared" si="95"/>
        <v>300000</v>
      </c>
      <c r="P408" s="200"/>
      <c r="Q408" s="200">
        <f t="shared" si="99"/>
        <v>716666.66666666674</v>
      </c>
      <c r="R408" s="201">
        <f>'[1]NOV''25'!Q415+N408-V408</f>
        <v>-0.33333333360496908</v>
      </c>
      <c r="S408" s="201">
        <f>'[1]NOV''25'!R415+O408-W408</f>
        <v>0</v>
      </c>
      <c r="T408" s="201">
        <f>'[1]NOV''25'!S415+P408-X408</f>
        <v>0</v>
      </c>
      <c r="U408" s="200">
        <f t="shared" si="96"/>
        <v>-0.33333333360496908</v>
      </c>
      <c r="V408" s="202">
        <v>416666.66666666698</v>
      </c>
      <c r="W408" s="203">
        <v>300000</v>
      </c>
      <c r="X408" s="203"/>
      <c r="Y408" s="200">
        <f t="shared" si="101"/>
        <v>716666.66666666698</v>
      </c>
      <c r="Z408" s="207">
        <f t="shared" si="102"/>
        <v>5833333.0000000028</v>
      </c>
      <c r="AA408" s="96"/>
      <c r="AB408" s="96" t="e">
        <f>#REF!-#REF!</f>
        <v>#REF!</v>
      </c>
    </row>
    <row r="409" spans="2:28" s="55" customFormat="1" x14ac:dyDescent="0.3">
      <c r="B409" s="191">
        <v>280</v>
      </c>
      <c r="C409" s="205" t="s">
        <v>626</v>
      </c>
      <c r="D409" s="192"/>
      <c r="E409" s="208">
        <v>45702</v>
      </c>
      <c r="F409" s="192" t="s">
        <v>627</v>
      </c>
      <c r="G409" s="209" t="s">
        <v>628</v>
      </c>
      <c r="H409" s="194">
        <v>11300000</v>
      </c>
      <c r="I409" s="224"/>
      <c r="J409" s="225">
        <f t="shared" si="98"/>
        <v>10.000001061946893</v>
      </c>
      <c r="K409" s="268">
        <v>36</v>
      </c>
      <c r="L409" s="198">
        <f t="shared" si="97"/>
        <v>0.27777780727630258</v>
      </c>
      <c r="M409" s="194">
        <v>8474999.6666666698</v>
      </c>
      <c r="N409" s="199">
        <f t="shared" si="100"/>
        <v>313888.88888888888</v>
      </c>
      <c r="O409" s="200">
        <f t="shared" si="95"/>
        <v>339000</v>
      </c>
      <c r="P409" s="200"/>
      <c r="Q409" s="200">
        <f t="shared" si="99"/>
        <v>652888.88888888888</v>
      </c>
      <c r="R409" s="201">
        <f>'[1]NOV''25'!Q416+N409-V409</f>
        <v>0</v>
      </c>
      <c r="S409" s="201">
        <f>'[1]NOV''25'!R416+O409-W409</f>
        <v>0</v>
      </c>
      <c r="T409" s="201">
        <f>'[1]NOV''25'!S416+P409-X409</f>
        <v>0</v>
      </c>
      <c r="U409" s="200">
        <f t="shared" si="96"/>
        <v>0</v>
      </c>
      <c r="V409" s="202">
        <v>313888.88888888899</v>
      </c>
      <c r="W409" s="203">
        <v>339000</v>
      </c>
      <c r="X409" s="203"/>
      <c r="Y409" s="200">
        <f t="shared" si="101"/>
        <v>652888.88888888899</v>
      </c>
      <c r="Z409" s="207">
        <f t="shared" si="102"/>
        <v>8161110.7777777808</v>
      </c>
      <c r="AA409" s="96"/>
      <c r="AB409" s="96" t="e">
        <f>#REF!-#REF!</f>
        <v>#REF!</v>
      </c>
    </row>
    <row r="410" spans="2:28" s="55" customFormat="1" x14ac:dyDescent="0.3">
      <c r="B410" s="191">
        <v>281</v>
      </c>
      <c r="C410" s="205" t="s">
        <v>629</v>
      </c>
      <c r="D410" s="192"/>
      <c r="E410" s="208">
        <v>45705</v>
      </c>
      <c r="F410" s="192" t="s">
        <v>630</v>
      </c>
      <c r="G410" s="209" t="s">
        <v>631</v>
      </c>
      <c r="H410" s="194">
        <v>9000000</v>
      </c>
      <c r="I410" s="224"/>
      <c r="J410" s="225">
        <f t="shared" si="98"/>
        <v>10</v>
      </c>
      <c r="K410" s="268">
        <v>36</v>
      </c>
      <c r="L410" s="198">
        <f t="shared" si="97"/>
        <v>0.27777777777777779</v>
      </c>
      <c r="M410" s="194">
        <v>6750000</v>
      </c>
      <c r="N410" s="199">
        <f t="shared" si="100"/>
        <v>250000</v>
      </c>
      <c r="O410" s="200">
        <f t="shared" si="95"/>
        <v>270000</v>
      </c>
      <c r="P410" s="200"/>
      <c r="Q410" s="200">
        <f t="shared" si="99"/>
        <v>520000</v>
      </c>
      <c r="R410" s="201">
        <f>'[1]NOV''25'!Q417+N410-V410</f>
        <v>0</v>
      </c>
      <c r="S410" s="201">
        <f>'[1]NOV''25'!R417+O410-W410</f>
        <v>0</v>
      </c>
      <c r="T410" s="201">
        <f>'[1]NOV''25'!S417+P410-X410</f>
        <v>0</v>
      </c>
      <c r="U410" s="200">
        <f t="shared" si="96"/>
        <v>0</v>
      </c>
      <c r="V410" s="202">
        <v>250000</v>
      </c>
      <c r="W410" s="203">
        <v>270000</v>
      </c>
      <c r="X410" s="203"/>
      <c r="Y410" s="200">
        <f t="shared" si="101"/>
        <v>520000</v>
      </c>
      <c r="Z410" s="207">
        <f t="shared" si="102"/>
        <v>6500000</v>
      </c>
      <c r="AA410" s="96"/>
      <c r="AB410" s="96" t="e">
        <f>#REF!-#REF!</f>
        <v>#REF!</v>
      </c>
    </row>
    <row r="411" spans="2:28" s="55" customFormat="1" x14ac:dyDescent="0.3">
      <c r="B411" s="191">
        <v>282</v>
      </c>
      <c r="C411" s="205" t="s">
        <v>632</v>
      </c>
      <c r="D411" s="192"/>
      <c r="E411" s="208">
        <v>45705</v>
      </c>
      <c r="F411" s="192" t="s">
        <v>633</v>
      </c>
      <c r="G411" s="209" t="s">
        <v>634</v>
      </c>
      <c r="H411" s="194">
        <v>3170000</v>
      </c>
      <c r="I411" s="224"/>
      <c r="J411" s="225">
        <f t="shared" si="98"/>
        <v>10.000003785488923</v>
      </c>
      <c r="K411" s="268">
        <v>36</v>
      </c>
      <c r="L411" s="198">
        <f t="shared" si="97"/>
        <v>0.27777788293024785</v>
      </c>
      <c r="M411" s="194">
        <v>2377499.6666666698</v>
      </c>
      <c r="N411" s="199">
        <f t="shared" si="100"/>
        <v>88055.555555555562</v>
      </c>
      <c r="O411" s="200">
        <f t="shared" si="95"/>
        <v>95100</v>
      </c>
      <c r="P411" s="200"/>
      <c r="Q411" s="200">
        <f t="shared" si="99"/>
        <v>183155.55555555556</v>
      </c>
      <c r="R411" s="201">
        <f>'[1]NOV''25'!Q418+N411-V411</f>
        <v>0</v>
      </c>
      <c r="S411" s="201">
        <f>'[1]NOV''25'!R418+O411-W411</f>
        <v>0</v>
      </c>
      <c r="T411" s="201">
        <f>'[1]NOV''25'!S418+P411-X411</f>
        <v>0</v>
      </c>
      <c r="U411" s="200">
        <f t="shared" si="96"/>
        <v>0</v>
      </c>
      <c r="V411" s="202">
        <v>88055.555555555606</v>
      </c>
      <c r="W411" s="203">
        <v>95100</v>
      </c>
      <c r="X411" s="203"/>
      <c r="Y411" s="200">
        <f t="shared" si="101"/>
        <v>183155.55555555562</v>
      </c>
      <c r="Z411" s="207">
        <f t="shared" si="102"/>
        <v>2289444.1111111143</v>
      </c>
      <c r="AA411" s="96"/>
      <c r="AB411" s="96" t="e">
        <f>#REF!-#REF!</f>
        <v>#REF!</v>
      </c>
    </row>
    <row r="412" spans="2:28" s="55" customFormat="1" x14ac:dyDescent="0.3">
      <c r="B412" s="191">
        <v>283</v>
      </c>
      <c r="C412" s="205" t="s">
        <v>635</v>
      </c>
      <c r="D412" s="192"/>
      <c r="E412" s="208">
        <v>45706</v>
      </c>
      <c r="F412" s="192" t="s">
        <v>636</v>
      </c>
      <c r="G412" s="209" t="s">
        <v>561</v>
      </c>
      <c r="H412" s="194">
        <v>11500000</v>
      </c>
      <c r="I412" s="224"/>
      <c r="J412" s="225">
        <f t="shared" si="98"/>
        <v>9.9999989565217184</v>
      </c>
      <c r="K412" s="268">
        <v>36</v>
      </c>
      <c r="L412" s="198">
        <f t="shared" si="97"/>
        <v>0.27777774879226996</v>
      </c>
      <c r="M412" s="194">
        <v>8625000.3333333395</v>
      </c>
      <c r="N412" s="199">
        <f t="shared" si="100"/>
        <v>319444.44444444444</v>
      </c>
      <c r="O412" s="200">
        <f t="shared" si="95"/>
        <v>345000</v>
      </c>
      <c r="P412" s="200"/>
      <c r="Q412" s="200">
        <f t="shared" si="99"/>
        <v>664444.4444444445</v>
      </c>
      <c r="R412" s="201">
        <f>'[1]NOV''25'!Q419+N412-V412</f>
        <v>4.6566128730773926E-10</v>
      </c>
      <c r="S412" s="201">
        <f>'[1]NOV''25'!R419+O412-W412</f>
        <v>0</v>
      </c>
      <c r="T412" s="201">
        <f>'[1]NOV''25'!S419+P412-X412</f>
        <v>0</v>
      </c>
      <c r="U412" s="200">
        <f t="shared" si="96"/>
        <v>4.6566128730773926E-10</v>
      </c>
      <c r="V412" s="202">
        <v>319444.44444444397</v>
      </c>
      <c r="W412" s="203">
        <v>345000</v>
      </c>
      <c r="X412" s="203"/>
      <c r="Y412" s="200">
        <f t="shared" si="101"/>
        <v>664444.44444444403</v>
      </c>
      <c r="Z412" s="207">
        <f t="shared" si="102"/>
        <v>8305555.8888888955</v>
      </c>
      <c r="AA412" s="96"/>
      <c r="AB412" s="96" t="e">
        <f>#REF!-#REF!</f>
        <v>#REF!</v>
      </c>
    </row>
    <row r="413" spans="2:28" s="55" customFormat="1" x14ac:dyDescent="0.3">
      <c r="B413" s="191">
        <v>284</v>
      </c>
      <c r="C413" s="205" t="s">
        <v>637</v>
      </c>
      <c r="D413" s="192"/>
      <c r="E413" s="208">
        <v>45706</v>
      </c>
      <c r="F413" s="192" t="s">
        <v>638</v>
      </c>
      <c r="G413" s="209" t="s">
        <v>639</v>
      </c>
      <c r="H413" s="194">
        <v>9750000</v>
      </c>
      <c r="I413" s="224"/>
      <c r="J413" s="225">
        <f t="shared" si="98"/>
        <v>9.9999987692307801</v>
      </c>
      <c r="K413" s="268">
        <v>36</v>
      </c>
      <c r="L413" s="198">
        <f t="shared" si="97"/>
        <v>0.27777774358974389</v>
      </c>
      <c r="M413" s="194">
        <v>7583333.3333333302</v>
      </c>
      <c r="N413" s="199">
        <f t="shared" si="100"/>
        <v>270833.33333333331</v>
      </c>
      <c r="O413" s="200">
        <f t="shared" si="95"/>
        <v>292500</v>
      </c>
      <c r="P413" s="200"/>
      <c r="Q413" s="200">
        <f t="shared" si="99"/>
        <v>563333.33333333326</v>
      </c>
      <c r="R413" s="201">
        <f>'[1]NOV''25'!Q420+N413-V413</f>
        <v>0.33333333325572312</v>
      </c>
      <c r="S413" s="201">
        <f>'[1]NOV''25'!R420+O413-W413</f>
        <v>0</v>
      </c>
      <c r="T413" s="201">
        <f>'[1]NOV''25'!S420+P413-X413</f>
        <v>0</v>
      </c>
      <c r="U413" s="200">
        <f t="shared" si="96"/>
        <v>0.33333333325572312</v>
      </c>
      <c r="V413" s="202">
        <f>270833.333333333+270833</f>
        <v>541666.33333333302</v>
      </c>
      <c r="W413" s="203">
        <f>292500+292500</f>
        <v>585000</v>
      </c>
      <c r="X413" s="203"/>
      <c r="Y413" s="200">
        <f t="shared" si="101"/>
        <v>1126666.333333333</v>
      </c>
      <c r="Z413" s="207">
        <f t="shared" si="102"/>
        <v>7041666.9999999972</v>
      </c>
      <c r="AA413" s="96"/>
      <c r="AB413" s="96" t="e">
        <f>#REF!-#REF!</f>
        <v>#REF!</v>
      </c>
    </row>
    <row r="414" spans="2:28" s="55" customFormat="1" x14ac:dyDescent="0.3">
      <c r="B414" s="191">
        <v>285</v>
      </c>
      <c r="C414" s="205" t="s">
        <v>640</v>
      </c>
      <c r="D414" s="192"/>
      <c r="E414" s="208">
        <v>45707</v>
      </c>
      <c r="F414" s="192" t="s">
        <v>641</v>
      </c>
      <c r="G414" s="209" t="s">
        <v>631</v>
      </c>
      <c r="H414" s="194">
        <v>3300000</v>
      </c>
      <c r="I414" s="224"/>
      <c r="J414" s="225">
        <f t="shared" si="98"/>
        <v>9.2247709090908732</v>
      </c>
      <c r="K414" s="268">
        <v>36</v>
      </c>
      <c r="L414" s="198">
        <f t="shared" si="97"/>
        <v>0.25624363636363534</v>
      </c>
      <c r="M414" s="194">
        <v>2566666.6666666698</v>
      </c>
      <c r="N414" s="199">
        <f t="shared" si="100"/>
        <v>91666.666666666672</v>
      </c>
      <c r="O414" s="200">
        <f t="shared" si="95"/>
        <v>99000</v>
      </c>
      <c r="P414" s="200"/>
      <c r="Q414" s="200">
        <f t="shared" si="99"/>
        <v>190666.66666666669</v>
      </c>
      <c r="R414" s="201">
        <f>'[1]NOV''25'!Q421+N414-V414</f>
        <v>71062.666666666672</v>
      </c>
      <c r="S414" s="201">
        <f>'[1]NOV''25'!R421+O414-W414</f>
        <v>0</v>
      </c>
      <c r="T414" s="201">
        <f>'[1]NOV''25'!S421+P414-X414</f>
        <v>0</v>
      </c>
      <c r="U414" s="200">
        <f t="shared" si="96"/>
        <v>71062.666666666672</v>
      </c>
      <c r="V414" s="202">
        <f>91666.6666666667+20604</f>
        <v>112270.6666666667</v>
      </c>
      <c r="W414" s="203">
        <f>99000+99000</f>
        <v>198000</v>
      </c>
      <c r="X414" s="203"/>
      <c r="Y414" s="200">
        <f t="shared" si="101"/>
        <v>310270.66666666669</v>
      </c>
      <c r="Z414" s="207">
        <f t="shared" si="102"/>
        <v>2454396.0000000033</v>
      </c>
      <c r="AA414" s="96"/>
      <c r="AB414" s="96" t="e">
        <f>#REF!-#REF!</f>
        <v>#REF!</v>
      </c>
    </row>
    <row r="415" spans="2:28" s="55" customFormat="1" x14ac:dyDescent="0.3">
      <c r="B415" s="191">
        <v>286</v>
      </c>
      <c r="C415" s="205" t="s">
        <v>642</v>
      </c>
      <c r="D415" s="192"/>
      <c r="E415" s="208">
        <v>45707</v>
      </c>
      <c r="F415" s="192" t="s">
        <v>643</v>
      </c>
      <c r="G415" s="209" t="s">
        <v>644</v>
      </c>
      <c r="H415" s="194">
        <v>8400000</v>
      </c>
      <c r="I415" s="224"/>
      <c r="J415" s="225">
        <f t="shared" si="98"/>
        <v>9.9999999999999982</v>
      </c>
      <c r="K415" s="268">
        <v>36</v>
      </c>
      <c r="L415" s="198">
        <f t="shared" si="97"/>
        <v>0.27777777777777773</v>
      </c>
      <c r="M415" s="194">
        <v>6300000</v>
      </c>
      <c r="N415" s="199">
        <f t="shared" si="100"/>
        <v>233333.33333333334</v>
      </c>
      <c r="O415" s="200">
        <f t="shared" si="95"/>
        <v>252000</v>
      </c>
      <c r="P415" s="200"/>
      <c r="Q415" s="200">
        <f t="shared" si="99"/>
        <v>485333.33333333337</v>
      </c>
      <c r="R415" s="201">
        <f>'[1]NOV''25'!Q422+N415-V415</f>
        <v>3.4924596548080444E-10</v>
      </c>
      <c r="S415" s="201">
        <f>'[1]NOV''25'!R422+O415-W415</f>
        <v>0</v>
      </c>
      <c r="T415" s="201">
        <f>'[1]NOV''25'!S422+P415-X415</f>
        <v>0</v>
      </c>
      <c r="U415" s="200">
        <f t="shared" si="96"/>
        <v>3.4924596548080444E-10</v>
      </c>
      <c r="V415" s="202">
        <v>233333.33333333299</v>
      </c>
      <c r="W415" s="203">
        <v>252000</v>
      </c>
      <c r="X415" s="203"/>
      <c r="Y415" s="200">
        <f t="shared" si="101"/>
        <v>485333.33333333302</v>
      </c>
      <c r="Z415" s="207">
        <f t="shared" si="102"/>
        <v>6066666.666666667</v>
      </c>
      <c r="AA415" s="96"/>
      <c r="AB415" s="96" t="e">
        <f>#REF!-#REF!</f>
        <v>#REF!</v>
      </c>
    </row>
    <row r="416" spans="2:28" s="55" customFormat="1" x14ac:dyDescent="0.3">
      <c r="B416" s="191">
        <v>287</v>
      </c>
      <c r="C416" s="205" t="s">
        <v>645</v>
      </c>
      <c r="D416" s="192"/>
      <c r="E416" s="208">
        <v>45709</v>
      </c>
      <c r="F416" s="192" t="s">
        <v>646</v>
      </c>
      <c r="G416" s="209" t="s">
        <v>647</v>
      </c>
      <c r="H416" s="194">
        <v>13500000</v>
      </c>
      <c r="I416" s="224"/>
      <c r="J416" s="225">
        <f t="shared" si="98"/>
        <v>10</v>
      </c>
      <c r="K416" s="268">
        <v>36</v>
      </c>
      <c r="L416" s="198">
        <f t="shared" si="97"/>
        <v>0.27777777777777779</v>
      </c>
      <c r="M416" s="194">
        <v>10125000</v>
      </c>
      <c r="N416" s="199">
        <f t="shared" si="100"/>
        <v>375000</v>
      </c>
      <c r="O416" s="200">
        <f t="shared" si="95"/>
        <v>405000</v>
      </c>
      <c r="P416" s="200"/>
      <c r="Q416" s="200">
        <f t="shared" si="99"/>
        <v>780000</v>
      </c>
      <c r="R416" s="201">
        <f>'[1]NOV''25'!Q423+N416-V416</f>
        <v>0</v>
      </c>
      <c r="S416" s="201">
        <f>'[1]NOV''25'!R423+O416-W416</f>
        <v>0</v>
      </c>
      <c r="T416" s="201">
        <f>'[1]NOV''25'!S423+P416-X416</f>
        <v>0</v>
      </c>
      <c r="U416" s="200">
        <f t="shared" si="96"/>
        <v>0</v>
      </c>
      <c r="V416" s="202">
        <v>375000</v>
      </c>
      <c r="W416" s="203">
        <v>405000</v>
      </c>
      <c r="X416" s="203"/>
      <c r="Y416" s="200">
        <f t="shared" si="101"/>
        <v>780000</v>
      </c>
      <c r="Z416" s="207">
        <f t="shared" si="102"/>
        <v>9750000</v>
      </c>
      <c r="AA416" s="96"/>
      <c r="AB416" s="96" t="e">
        <f>#REF!-#REF!</f>
        <v>#REF!</v>
      </c>
    </row>
    <row r="417" spans="2:28" s="55" customFormat="1" x14ac:dyDescent="0.3">
      <c r="B417" s="191">
        <v>288</v>
      </c>
      <c r="C417" s="205" t="s">
        <v>648</v>
      </c>
      <c r="D417" s="192"/>
      <c r="E417" s="208">
        <v>45715</v>
      </c>
      <c r="F417" s="192" t="s">
        <v>649</v>
      </c>
      <c r="G417" s="209" t="s">
        <v>269</v>
      </c>
      <c r="H417" s="194">
        <v>13780000</v>
      </c>
      <c r="I417" s="224"/>
      <c r="J417" s="225">
        <f t="shared" si="98"/>
        <v>9.9999991291728012</v>
      </c>
      <c r="K417" s="268">
        <v>36</v>
      </c>
      <c r="L417" s="198">
        <f t="shared" si="97"/>
        <v>0.27777775358813339</v>
      </c>
      <c r="M417" s="194">
        <v>10335000.3333333</v>
      </c>
      <c r="N417" s="199">
        <f t="shared" si="100"/>
        <v>382777.77777777775</v>
      </c>
      <c r="O417" s="200">
        <f t="shared" si="95"/>
        <v>413400</v>
      </c>
      <c r="P417" s="200"/>
      <c r="Q417" s="200">
        <f t="shared" si="99"/>
        <v>796177.77777777775</v>
      </c>
      <c r="R417" s="201">
        <f>'[1]NOV''25'!Q424+N417-V417</f>
        <v>0</v>
      </c>
      <c r="S417" s="201">
        <f>'[1]NOV''25'!R424+O417-W417</f>
        <v>0</v>
      </c>
      <c r="T417" s="201">
        <f>'[1]NOV''25'!S424+P417-X417</f>
        <v>0</v>
      </c>
      <c r="U417" s="200">
        <f t="shared" si="96"/>
        <v>0</v>
      </c>
      <c r="V417" s="202">
        <v>382777.77777777798</v>
      </c>
      <c r="W417" s="203">
        <v>413400</v>
      </c>
      <c r="X417" s="203"/>
      <c r="Y417" s="200">
        <f t="shared" si="101"/>
        <v>796177.77777777798</v>
      </c>
      <c r="Z417" s="207">
        <f t="shared" si="102"/>
        <v>9952222.5555555224</v>
      </c>
      <c r="AA417" s="96"/>
      <c r="AB417" s="96" t="e">
        <f>#REF!-#REF!</f>
        <v>#REF!</v>
      </c>
    </row>
    <row r="418" spans="2:28" s="55" customFormat="1" x14ac:dyDescent="0.3">
      <c r="B418" s="191">
        <v>289</v>
      </c>
      <c r="C418" s="205" t="s">
        <v>650</v>
      </c>
      <c r="D418" s="192"/>
      <c r="E418" s="208">
        <v>45719</v>
      </c>
      <c r="F418" s="192" t="s">
        <v>651</v>
      </c>
      <c r="G418" s="209" t="s">
        <v>652</v>
      </c>
      <c r="H418" s="194">
        <v>7430000</v>
      </c>
      <c r="I418" s="224"/>
      <c r="J418" s="225">
        <f t="shared" si="98"/>
        <v>9.0000016150740052</v>
      </c>
      <c r="K418" s="268">
        <v>36</v>
      </c>
      <c r="L418" s="198">
        <f t="shared" si="97"/>
        <v>0.25000004486316679</v>
      </c>
      <c r="M418" s="194">
        <v>5778888.5555555597</v>
      </c>
      <c r="N418" s="199">
        <f t="shared" si="100"/>
        <v>206388.88888888888</v>
      </c>
      <c r="O418" s="200">
        <f t="shared" si="95"/>
        <v>222900</v>
      </c>
      <c r="P418" s="200"/>
      <c r="Q418" s="200">
        <f t="shared" si="99"/>
        <v>429288.88888888888</v>
      </c>
      <c r="R418" s="201">
        <f>'[1]NOV''25'!Q425+N418-V418</f>
        <v>-0.11111111124046147</v>
      </c>
      <c r="S418" s="201">
        <f>'[1]NOV''25'!R425+O418-W418</f>
        <v>0</v>
      </c>
      <c r="T418" s="201">
        <f>'[1]NOV''25'!S425+P418-X418</f>
        <v>0</v>
      </c>
      <c r="U418" s="200">
        <f t="shared" si="96"/>
        <v>-0.11111111124046147</v>
      </c>
      <c r="V418" s="202">
        <v>206388.88888888899</v>
      </c>
      <c r="W418" s="203">
        <v>222900</v>
      </c>
      <c r="X418" s="203"/>
      <c r="Y418" s="200">
        <f t="shared" si="101"/>
        <v>429288.88888888899</v>
      </c>
      <c r="Z418" s="207">
        <f t="shared" si="102"/>
        <v>5572499.6666666707</v>
      </c>
      <c r="AA418" s="96"/>
      <c r="AB418" s="96" t="e">
        <f>#REF!-#REF!</f>
        <v>#REF!</v>
      </c>
    </row>
    <row r="419" spans="2:28" s="55" customFormat="1" x14ac:dyDescent="0.3">
      <c r="B419" s="191">
        <v>290</v>
      </c>
      <c r="C419" s="192" t="s">
        <v>653</v>
      </c>
      <c r="D419" s="192"/>
      <c r="E419" s="208">
        <v>45720</v>
      </c>
      <c r="F419" s="192" t="s">
        <v>654</v>
      </c>
      <c r="G419" s="209" t="s">
        <v>655</v>
      </c>
      <c r="H419" s="194">
        <v>5200000</v>
      </c>
      <c r="I419" s="224"/>
      <c r="J419" s="225">
        <f t="shared" si="98"/>
        <v>9.0000007692307875</v>
      </c>
      <c r="K419" s="268">
        <v>36</v>
      </c>
      <c r="L419" s="198">
        <f t="shared" si="97"/>
        <v>0.25000002136752186</v>
      </c>
      <c r="M419" s="194">
        <v>4044444.3333333302</v>
      </c>
      <c r="N419" s="199">
        <f t="shared" si="100"/>
        <v>144444.44444444444</v>
      </c>
      <c r="O419" s="200">
        <f t="shared" si="95"/>
        <v>156000</v>
      </c>
      <c r="P419" s="200"/>
      <c r="Q419" s="200">
        <f t="shared" si="99"/>
        <v>300444.44444444444</v>
      </c>
      <c r="R419" s="201">
        <f>'[1]NOV''25'!Q426+N419-V419</f>
        <v>4.3655745685100555E-10</v>
      </c>
      <c r="S419" s="201">
        <f>'[1]NOV''25'!R426+O419-W419</f>
        <v>0</v>
      </c>
      <c r="T419" s="201">
        <f>'[1]NOV''25'!S426+P419-X419</f>
        <v>0</v>
      </c>
      <c r="U419" s="200">
        <f t="shared" si="96"/>
        <v>4.3655745685100555E-10</v>
      </c>
      <c r="V419" s="202">
        <v>144444.444444444</v>
      </c>
      <c r="W419" s="203">
        <v>156000</v>
      </c>
      <c r="X419" s="203"/>
      <c r="Y419" s="200">
        <f t="shared" si="101"/>
        <v>300444.44444444403</v>
      </c>
      <c r="Z419" s="207">
        <f t="shared" si="102"/>
        <v>3899999.8888888862</v>
      </c>
      <c r="AA419" s="96"/>
      <c r="AB419" s="96" t="e">
        <f>#REF!-#REF!</f>
        <v>#REF!</v>
      </c>
    </row>
    <row r="420" spans="2:28" s="55" customFormat="1" x14ac:dyDescent="0.3">
      <c r="B420" s="191">
        <v>291</v>
      </c>
      <c r="C420" s="192" t="s">
        <v>656</v>
      </c>
      <c r="D420" s="192"/>
      <c r="E420" s="208">
        <v>45720</v>
      </c>
      <c r="F420" s="192" t="s">
        <v>657</v>
      </c>
      <c r="G420" s="209" t="s">
        <v>655</v>
      </c>
      <c r="H420" s="194">
        <v>2700000</v>
      </c>
      <c r="I420" s="224"/>
      <c r="J420" s="225">
        <f t="shared" si="98"/>
        <v>9</v>
      </c>
      <c r="K420" s="268">
        <v>36</v>
      </c>
      <c r="L420" s="198">
        <f t="shared" si="97"/>
        <v>0.25</v>
      </c>
      <c r="M420" s="194">
        <v>2100000</v>
      </c>
      <c r="N420" s="199">
        <f t="shared" si="100"/>
        <v>75000</v>
      </c>
      <c r="O420" s="200">
        <f t="shared" si="95"/>
        <v>81000</v>
      </c>
      <c r="P420" s="200"/>
      <c r="Q420" s="200">
        <f t="shared" si="99"/>
        <v>156000</v>
      </c>
      <c r="R420" s="201">
        <f>'[1]NOV''25'!Q427+N420-V420</f>
        <v>0</v>
      </c>
      <c r="S420" s="201">
        <f>'[1]NOV''25'!R427+O420-W420</f>
        <v>0</v>
      </c>
      <c r="T420" s="201">
        <f>'[1]NOV''25'!S427+P420-X420</f>
        <v>0</v>
      </c>
      <c r="U420" s="200">
        <f t="shared" si="96"/>
        <v>0</v>
      </c>
      <c r="V420" s="202">
        <v>75000</v>
      </c>
      <c r="W420" s="203">
        <v>81000</v>
      </c>
      <c r="X420" s="203"/>
      <c r="Y420" s="200">
        <f t="shared" si="101"/>
        <v>156000</v>
      </c>
      <c r="Z420" s="207">
        <f t="shared" si="102"/>
        <v>2025000</v>
      </c>
      <c r="AA420" s="96"/>
      <c r="AB420" s="96" t="e">
        <f>#REF!-#REF!</f>
        <v>#REF!</v>
      </c>
    </row>
    <row r="421" spans="2:28" s="55" customFormat="1" x14ac:dyDescent="0.3">
      <c r="B421" s="191">
        <v>293</v>
      </c>
      <c r="C421" s="205" t="s">
        <v>658</v>
      </c>
      <c r="D421" s="192"/>
      <c r="E421" s="208">
        <v>45721</v>
      </c>
      <c r="F421" s="192" t="s">
        <v>659</v>
      </c>
      <c r="G421" s="209" t="s">
        <v>660</v>
      </c>
      <c r="H421" s="194">
        <v>5000000</v>
      </c>
      <c r="I421" s="224"/>
      <c r="J421" s="225">
        <f t="shared" si="98"/>
        <v>9.0000015999999796</v>
      </c>
      <c r="K421" s="268">
        <v>36</v>
      </c>
      <c r="L421" s="198">
        <f t="shared" si="97"/>
        <v>0.2500000444444439</v>
      </c>
      <c r="M421" s="194">
        <v>3888888.6666666698</v>
      </c>
      <c r="N421" s="199">
        <f t="shared" si="100"/>
        <v>138888.88888888888</v>
      </c>
      <c r="O421" s="200">
        <f t="shared" si="95"/>
        <v>150000</v>
      </c>
      <c r="P421" s="200"/>
      <c r="Q421" s="200">
        <f t="shared" si="99"/>
        <v>288888.88888888888</v>
      </c>
      <c r="R421" s="201">
        <f>'[1]NOV''25'!Q429+N421-V421</f>
        <v>0</v>
      </c>
      <c r="S421" s="201">
        <f>'[1]NOV''25'!R429+O421-W421</f>
        <v>0</v>
      </c>
      <c r="T421" s="201">
        <f>'[1]NOV''25'!S429+P421-X421</f>
        <v>0</v>
      </c>
      <c r="U421" s="200">
        <f t="shared" si="96"/>
        <v>0</v>
      </c>
      <c r="V421" s="202">
        <v>138888.88888888899</v>
      </c>
      <c r="W421" s="203">
        <v>150000</v>
      </c>
      <c r="X421" s="203"/>
      <c r="Y421" s="200">
        <f t="shared" si="101"/>
        <v>288888.88888888899</v>
      </c>
      <c r="Z421" s="207">
        <f t="shared" si="102"/>
        <v>3749999.7777777808</v>
      </c>
      <c r="AA421" s="96"/>
      <c r="AB421" s="96" t="e">
        <f>#REF!-#REF!</f>
        <v>#REF!</v>
      </c>
    </row>
    <row r="422" spans="2:28" s="55" customFormat="1" x14ac:dyDescent="0.3">
      <c r="B422" s="191">
        <v>294</v>
      </c>
      <c r="C422" s="205" t="s">
        <v>661</v>
      </c>
      <c r="D422" s="192"/>
      <c r="E422" s="208">
        <v>45721</v>
      </c>
      <c r="F422" s="192" t="s">
        <v>662</v>
      </c>
      <c r="G422" s="209" t="s">
        <v>663</v>
      </c>
      <c r="H422" s="194">
        <v>5000000</v>
      </c>
      <c r="I422" s="224"/>
      <c r="J422" s="225">
        <f t="shared" si="98"/>
        <v>9.0000015999999796</v>
      </c>
      <c r="K422" s="268">
        <v>36</v>
      </c>
      <c r="L422" s="198">
        <f t="shared" si="97"/>
        <v>0.2500000444444439</v>
      </c>
      <c r="M422" s="194">
        <v>3888888.6666666698</v>
      </c>
      <c r="N422" s="199">
        <f t="shared" si="100"/>
        <v>138888.88888888888</v>
      </c>
      <c r="O422" s="200">
        <f t="shared" si="95"/>
        <v>150000</v>
      </c>
      <c r="P422" s="200"/>
      <c r="Q422" s="200">
        <f t="shared" si="99"/>
        <v>288888.88888888888</v>
      </c>
      <c r="R422" s="201">
        <f>'[1]NOV''25'!Q430+N422-V422</f>
        <v>0</v>
      </c>
      <c r="S422" s="201">
        <f>'[1]NOV''25'!R430+O422-W422</f>
        <v>0</v>
      </c>
      <c r="T422" s="201">
        <f>'[1]NOV''25'!S430+P422-X422</f>
        <v>0</v>
      </c>
      <c r="U422" s="200">
        <f t="shared" si="96"/>
        <v>0</v>
      </c>
      <c r="V422" s="202">
        <v>138888.88888888899</v>
      </c>
      <c r="W422" s="203">
        <v>150000</v>
      </c>
      <c r="X422" s="203"/>
      <c r="Y422" s="200">
        <f t="shared" si="101"/>
        <v>288888.88888888899</v>
      </c>
      <c r="Z422" s="207">
        <f t="shared" si="102"/>
        <v>3749999.7777777808</v>
      </c>
      <c r="AA422" s="96"/>
      <c r="AB422" s="96" t="e">
        <f>#REF!-#REF!</f>
        <v>#REF!</v>
      </c>
    </row>
    <row r="423" spans="2:28" s="55" customFormat="1" x14ac:dyDescent="0.3">
      <c r="B423" s="191">
        <v>295</v>
      </c>
      <c r="C423" s="192" t="s">
        <v>664</v>
      </c>
      <c r="D423" s="192"/>
      <c r="E423" s="208">
        <v>45722</v>
      </c>
      <c r="F423" s="192" t="s">
        <v>665</v>
      </c>
      <c r="G423" s="209" t="s">
        <v>666</v>
      </c>
      <c r="H423" s="194">
        <v>6500000</v>
      </c>
      <c r="I423" s="224"/>
      <c r="J423" s="225">
        <f t="shared" si="98"/>
        <v>5.9999993846153732</v>
      </c>
      <c r="K423" s="268">
        <v>36</v>
      </c>
      <c r="L423" s="198">
        <f t="shared" si="97"/>
        <v>0.16666664957264926</v>
      </c>
      <c r="M423" s="194">
        <v>5416666.7777777798</v>
      </c>
      <c r="N423" s="199">
        <f t="shared" si="100"/>
        <v>180555.55555555556</v>
      </c>
      <c r="O423" s="200">
        <f t="shared" si="95"/>
        <v>195000</v>
      </c>
      <c r="P423" s="200"/>
      <c r="Q423" s="200">
        <f t="shared" si="99"/>
        <v>375555.55555555556</v>
      </c>
      <c r="R423" s="201">
        <f>'[1]NOV''25'!Q431+N423-V423</f>
        <v>541666.66666666651</v>
      </c>
      <c r="S423" s="201">
        <f>'[1]NOV''25'!R431+O423-W423</f>
        <v>585000</v>
      </c>
      <c r="T423" s="201">
        <f>'[1]NOV''25'!S431+P423-X423</f>
        <v>0</v>
      </c>
      <c r="U423" s="200">
        <f t="shared" si="96"/>
        <v>1126666.6666666665</v>
      </c>
      <c r="V423" s="202"/>
      <c r="W423" s="203"/>
      <c r="X423" s="203"/>
      <c r="Y423" s="200">
        <f t="shared" si="101"/>
        <v>0</v>
      </c>
      <c r="Z423" s="207">
        <f t="shared" si="102"/>
        <v>5416666.7777777798</v>
      </c>
      <c r="AA423" s="96" t="s">
        <v>455</v>
      </c>
      <c r="AB423" s="96" t="e">
        <f>#REF!-#REF!</f>
        <v>#REF!</v>
      </c>
    </row>
    <row r="424" spans="2:28" s="55" customFormat="1" x14ac:dyDescent="0.3">
      <c r="B424" s="191">
        <v>296</v>
      </c>
      <c r="C424" s="192" t="s">
        <v>667</v>
      </c>
      <c r="D424" s="192"/>
      <c r="E424" s="208">
        <v>45723</v>
      </c>
      <c r="F424" s="192" t="s">
        <v>668</v>
      </c>
      <c r="G424" s="209" t="s">
        <v>669</v>
      </c>
      <c r="H424" s="194">
        <v>6900000</v>
      </c>
      <c r="I424" s="224"/>
      <c r="J424" s="225">
        <f t="shared" si="98"/>
        <v>8.9999982608695674</v>
      </c>
      <c r="K424" s="268">
        <v>36</v>
      </c>
      <c r="L424" s="198">
        <f t="shared" si="97"/>
        <v>0.24999995169082131</v>
      </c>
      <c r="M424" s="194">
        <v>5366667</v>
      </c>
      <c r="N424" s="199">
        <f t="shared" si="100"/>
        <v>191666.66666666666</v>
      </c>
      <c r="O424" s="200">
        <f t="shared" si="95"/>
        <v>207000</v>
      </c>
      <c r="P424" s="200"/>
      <c r="Q424" s="200">
        <f t="shared" si="99"/>
        <v>398666.66666666663</v>
      </c>
      <c r="R424" s="201">
        <f>'[1]NOV''25'!Q432+N424-V424</f>
        <v>-3.4924596548080444E-10</v>
      </c>
      <c r="S424" s="201">
        <f>'[1]NOV''25'!R432+O424-W424</f>
        <v>0</v>
      </c>
      <c r="T424" s="201">
        <f>'[1]NOV''25'!S432+P424-X424</f>
        <v>0</v>
      </c>
      <c r="U424" s="200">
        <f t="shared" si="96"/>
        <v>-3.4924596548080444E-10</v>
      </c>
      <c r="V424" s="202">
        <v>191666.66666666701</v>
      </c>
      <c r="W424" s="203">
        <v>207000</v>
      </c>
      <c r="X424" s="203"/>
      <c r="Y424" s="200">
        <f t="shared" si="101"/>
        <v>398666.66666666698</v>
      </c>
      <c r="Z424" s="207">
        <f t="shared" si="102"/>
        <v>5175000.333333333</v>
      </c>
      <c r="AA424" s="96"/>
      <c r="AB424" s="96" t="e">
        <f>#REF!-#REF!</f>
        <v>#REF!</v>
      </c>
    </row>
    <row r="425" spans="2:28" s="55" customFormat="1" x14ac:dyDescent="0.3">
      <c r="B425" s="191">
        <v>297</v>
      </c>
      <c r="C425" s="205" t="s">
        <v>670</v>
      </c>
      <c r="D425" s="192"/>
      <c r="E425" s="208">
        <v>45723</v>
      </c>
      <c r="F425" s="192" t="s">
        <v>671</v>
      </c>
      <c r="G425" s="209" t="s">
        <v>669</v>
      </c>
      <c r="H425" s="194">
        <v>10670000</v>
      </c>
      <c r="I425" s="224"/>
      <c r="J425" s="225">
        <f t="shared" si="98"/>
        <v>9.0000011246485343</v>
      </c>
      <c r="K425" s="268">
        <v>36</v>
      </c>
      <c r="L425" s="198">
        <f t="shared" si="97"/>
        <v>0.25000003124023706</v>
      </c>
      <c r="M425" s="194">
        <v>8298888.5555555597</v>
      </c>
      <c r="N425" s="199">
        <f t="shared" si="100"/>
        <v>296388.88888888888</v>
      </c>
      <c r="O425" s="200">
        <f t="shared" si="95"/>
        <v>320100</v>
      </c>
      <c r="P425" s="200"/>
      <c r="Q425" s="200">
        <f t="shared" si="99"/>
        <v>616488.88888888888</v>
      </c>
      <c r="R425" s="201">
        <f>'[1]NOV''25'!Q433+N425-V425</f>
        <v>-0.11111111135687679</v>
      </c>
      <c r="S425" s="201">
        <f>'[1]NOV''25'!R433+O425-W425</f>
        <v>0</v>
      </c>
      <c r="T425" s="201">
        <f>'[1]NOV''25'!S433+P425-X425</f>
        <v>0</v>
      </c>
      <c r="U425" s="200">
        <f t="shared" si="96"/>
        <v>-0.11111111135687679</v>
      </c>
      <c r="V425" s="202">
        <v>296388.88888888899</v>
      </c>
      <c r="W425" s="203">
        <v>320100</v>
      </c>
      <c r="X425" s="203"/>
      <c r="Y425" s="200">
        <f t="shared" si="101"/>
        <v>616488.88888888899</v>
      </c>
      <c r="Z425" s="207">
        <f t="shared" si="102"/>
        <v>8002499.6666666707</v>
      </c>
      <c r="AA425" s="96"/>
      <c r="AB425" s="96" t="e">
        <f>#REF!-#REF!</f>
        <v>#REF!</v>
      </c>
    </row>
    <row r="426" spans="2:28" s="55" customFormat="1" x14ac:dyDescent="0.3">
      <c r="B426" s="191">
        <v>298</v>
      </c>
      <c r="C426" s="192" t="s">
        <v>672</v>
      </c>
      <c r="D426" s="192"/>
      <c r="E426" s="208">
        <v>45726</v>
      </c>
      <c r="F426" s="192" t="s">
        <v>673</v>
      </c>
      <c r="G426" s="209" t="s">
        <v>674</v>
      </c>
      <c r="H426" s="194">
        <v>10300000</v>
      </c>
      <c r="I426" s="224"/>
      <c r="J426" s="225">
        <f t="shared" si="98"/>
        <v>8.9999992233009802</v>
      </c>
      <c r="K426" s="268">
        <v>36</v>
      </c>
      <c r="L426" s="198">
        <f t="shared" si="97"/>
        <v>0.24999997842502722</v>
      </c>
      <c r="M426" s="194">
        <v>8011111.3333333302</v>
      </c>
      <c r="N426" s="199">
        <f t="shared" si="100"/>
        <v>286111.11111111112</v>
      </c>
      <c r="O426" s="200">
        <f t="shared" si="95"/>
        <v>309000</v>
      </c>
      <c r="P426" s="200"/>
      <c r="Q426" s="200">
        <f t="shared" si="99"/>
        <v>595111.11111111112</v>
      </c>
      <c r="R426" s="201">
        <f>'[1]NOV''25'!Q434+N426-V426</f>
        <v>0</v>
      </c>
      <c r="S426" s="201">
        <f>'[1]NOV''25'!R434+O426-W426</f>
        <v>0</v>
      </c>
      <c r="T426" s="201">
        <f>'[1]NOV''25'!S434+P426-X426</f>
        <v>0</v>
      </c>
      <c r="U426" s="200">
        <f t="shared" si="96"/>
        <v>0</v>
      </c>
      <c r="V426" s="202">
        <v>286111.11111111101</v>
      </c>
      <c r="W426" s="203">
        <v>309000</v>
      </c>
      <c r="X426" s="203"/>
      <c r="Y426" s="200">
        <f t="shared" si="101"/>
        <v>595111.11111111101</v>
      </c>
      <c r="Z426" s="207">
        <f t="shared" si="102"/>
        <v>7725000.2222222192</v>
      </c>
      <c r="AA426" s="96"/>
      <c r="AB426" s="96" t="e">
        <f>#REF!-#REF!</f>
        <v>#REF!</v>
      </c>
    </row>
    <row r="427" spans="2:28" s="55" customFormat="1" x14ac:dyDescent="0.3">
      <c r="B427" s="191">
        <v>299</v>
      </c>
      <c r="C427" s="205" t="s">
        <v>675</v>
      </c>
      <c r="D427" s="192"/>
      <c r="E427" s="208">
        <v>45727</v>
      </c>
      <c r="F427" s="192" t="s">
        <v>676</v>
      </c>
      <c r="G427" s="209" t="s">
        <v>677</v>
      </c>
      <c r="H427" s="194">
        <v>3200000</v>
      </c>
      <c r="I427" s="224"/>
      <c r="J427" s="225">
        <f t="shared" si="98"/>
        <v>9.0000024999999653</v>
      </c>
      <c r="K427" s="268">
        <v>36</v>
      </c>
      <c r="L427" s="198">
        <f t="shared" si="97"/>
        <v>0.25000006944444347</v>
      </c>
      <c r="M427" s="194">
        <v>2488888.6666666698</v>
      </c>
      <c r="N427" s="199">
        <f t="shared" si="100"/>
        <v>88888.888888888891</v>
      </c>
      <c r="O427" s="200">
        <f t="shared" si="95"/>
        <v>96000</v>
      </c>
      <c r="P427" s="200"/>
      <c r="Q427" s="200">
        <f t="shared" si="99"/>
        <v>184888.88888888888</v>
      </c>
      <c r="R427" s="201">
        <f>'[1]NOV''25'!Q435+N427-V427</f>
        <v>0</v>
      </c>
      <c r="S427" s="201">
        <f>'[1]NOV''25'!R435+O427-W427</f>
        <v>0</v>
      </c>
      <c r="T427" s="201">
        <f>'[1]NOV''25'!S435+P427-X427</f>
        <v>0</v>
      </c>
      <c r="U427" s="200">
        <f t="shared" si="96"/>
        <v>0</v>
      </c>
      <c r="V427" s="202">
        <v>88888.888888888905</v>
      </c>
      <c r="W427" s="203">
        <v>96000</v>
      </c>
      <c r="X427" s="203"/>
      <c r="Y427" s="200">
        <f t="shared" si="101"/>
        <v>184888.88888888891</v>
      </c>
      <c r="Z427" s="207">
        <f t="shared" si="102"/>
        <v>2399999.7777777808</v>
      </c>
      <c r="AA427" s="96"/>
      <c r="AB427" s="96" t="e">
        <f>#REF!-#REF!</f>
        <v>#REF!</v>
      </c>
    </row>
    <row r="428" spans="2:28" s="55" customFormat="1" x14ac:dyDescent="0.3">
      <c r="B428" s="191">
        <v>300</v>
      </c>
      <c r="C428" s="192" t="s">
        <v>678</v>
      </c>
      <c r="D428" s="192"/>
      <c r="E428" s="208">
        <v>45728</v>
      </c>
      <c r="F428" s="192" t="s">
        <v>679</v>
      </c>
      <c r="G428" s="209" t="s">
        <v>680</v>
      </c>
      <c r="H428" s="194">
        <v>13900000</v>
      </c>
      <c r="I428" s="224"/>
      <c r="J428" s="225">
        <f t="shared" si="98"/>
        <v>8.9999994244605137</v>
      </c>
      <c r="K428" s="268">
        <v>36</v>
      </c>
      <c r="L428" s="198">
        <f t="shared" si="97"/>
        <v>0.24999998401279205</v>
      </c>
      <c r="M428" s="194">
        <v>10811111.3333333</v>
      </c>
      <c r="N428" s="199">
        <f t="shared" si="100"/>
        <v>386111.11111111112</v>
      </c>
      <c r="O428" s="200">
        <f t="shared" si="95"/>
        <v>417000</v>
      </c>
      <c r="P428" s="200"/>
      <c r="Q428" s="200">
        <f t="shared" si="99"/>
        <v>803111.11111111112</v>
      </c>
      <c r="R428" s="201">
        <f>'[1]NOV''25'!Q436+N428-V428</f>
        <v>0</v>
      </c>
      <c r="S428" s="201">
        <f>'[1]NOV''25'!R436+O428-W428</f>
        <v>0</v>
      </c>
      <c r="T428" s="201">
        <f>'[1]NOV''25'!S436+P428-X428</f>
        <v>0</v>
      </c>
      <c r="U428" s="200">
        <f t="shared" si="96"/>
        <v>0</v>
      </c>
      <c r="V428" s="202">
        <v>386111.11111111101</v>
      </c>
      <c r="W428" s="203">
        <v>417000</v>
      </c>
      <c r="X428" s="203"/>
      <c r="Y428" s="200">
        <f t="shared" si="101"/>
        <v>803111.11111111101</v>
      </c>
      <c r="Z428" s="207">
        <f t="shared" si="102"/>
        <v>10425000.22222219</v>
      </c>
      <c r="AA428" s="96"/>
      <c r="AB428" s="96" t="e">
        <f>#REF!-#REF!</f>
        <v>#REF!</v>
      </c>
    </row>
    <row r="429" spans="2:28" s="55" customFormat="1" x14ac:dyDescent="0.3">
      <c r="B429" s="191">
        <v>301</v>
      </c>
      <c r="C429" s="192" t="s">
        <v>681</v>
      </c>
      <c r="D429" s="192"/>
      <c r="E429" s="208">
        <v>45729</v>
      </c>
      <c r="F429" s="192" t="s">
        <v>682</v>
      </c>
      <c r="G429" s="209" t="s">
        <v>683</v>
      </c>
      <c r="H429" s="194">
        <v>5800000</v>
      </c>
      <c r="I429" s="224"/>
      <c r="J429" s="225">
        <f t="shared" si="98"/>
        <v>8.9999986206896736</v>
      </c>
      <c r="K429" s="268">
        <v>36</v>
      </c>
      <c r="L429" s="198">
        <f t="shared" si="97"/>
        <v>0.24999996168582428</v>
      </c>
      <c r="M429" s="194">
        <v>4511111.3333333302</v>
      </c>
      <c r="N429" s="199">
        <f t="shared" si="100"/>
        <v>161111.11111111112</v>
      </c>
      <c r="O429" s="200">
        <f t="shared" si="95"/>
        <v>174000</v>
      </c>
      <c r="P429" s="200"/>
      <c r="Q429" s="200">
        <f t="shared" si="99"/>
        <v>335111.11111111112</v>
      </c>
      <c r="R429" s="201">
        <f>'[1]NOV''25'!Q437+N429-V429</f>
        <v>0</v>
      </c>
      <c r="S429" s="201">
        <f>'[1]NOV''25'!R437+O429-W429</f>
        <v>0</v>
      </c>
      <c r="T429" s="201">
        <f>'[1]NOV''25'!S437+P429-X429</f>
        <v>0</v>
      </c>
      <c r="U429" s="200">
        <f t="shared" si="96"/>
        <v>0</v>
      </c>
      <c r="V429" s="202">
        <v>161111.11111111101</v>
      </c>
      <c r="W429" s="203">
        <v>174000</v>
      </c>
      <c r="X429" s="203"/>
      <c r="Y429" s="200">
        <f t="shared" si="101"/>
        <v>335111.11111111101</v>
      </c>
      <c r="Z429" s="207">
        <f t="shared" si="102"/>
        <v>4350000.2222222192</v>
      </c>
      <c r="AA429" s="96"/>
      <c r="AB429" s="96" t="e">
        <f>#REF!-#REF!</f>
        <v>#REF!</v>
      </c>
    </row>
    <row r="430" spans="2:28" s="55" customFormat="1" x14ac:dyDescent="0.3">
      <c r="B430" s="191">
        <v>302</v>
      </c>
      <c r="C430" s="192" t="s">
        <v>684</v>
      </c>
      <c r="D430" s="192"/>
      <c r="E430" s="208">
        <v>45729</v>
      </c>
      <c r="F430" s="192" t="s">
        <v>239</v>
      </c>
      <c r="G430" s="209" t="s">
        <v>680</v>
      </c>
      <c r="H430" s="194">
        <v>8500000</v>
      </c>
      <c r="I430" s="224"/>
      <c r="J430" s="225">
        <f t="shared" si="98"/>
        <v>8.9999990588235423</v>
      </c>
      <c r="K430" s="268">
        <v>36</v>
      </c>
      <c r="L430" s="198">
        <f t="shared" si="97"/>
        <v>0.24999997385620951</v>
      </c>
      <c r="M430" s="194">
        <v>6611111.3333333302</v>
      </c>
      <c r="N430" s="199">
        <f t="shared" si="100"/>
        <v>236111.11111111112</v>
      </c>
      <c r="O430" s="200">
        <f t="shared" si="95"/>
        <v>255000</v>
      </c>
      <c r="P430" s="200"/>
      <c r="Q430" s="200">
        <f t="shared" si="99"/>
        <v>491111.11111111112</v>
      </c>
      <c r="R430" s="201">
        <f>'[1]NOV''25'!Q438+N430-V430</f>
        <v>0</v>
      </c>
      <c r="S430" s="201">
        <f>'[1]NOV''25'!R438+O430-W430</f>
        <v>0</v>
      </c>
      <c r="T430" s="201">
        <f>'[1]NOV''25'!S438+P430-X430</f>
        <v>0</v>
      </c>
      <c r="U430" s="200">
        <f t="shared" si="96"/>
        <v>0</v>
      </c>
      <c r="V430" s="202">
        <v>236111.11111111101</v>
      </c>
      <c r="W430" s="203">
        <v>255000</v>
      </c>
      <c r="X430" s="203"/>
      <c r="Y430" s="200">
        <f t="shared" si="101"/>
        <v>491111.11111111101</v>
      </c>
      <c r="Z430" s="207">
        <f t="shared" si="102"/>
        <v>6375000.2222222192</v>
      </c>
      <c r="AA430" s="96"/>
      <c r="AB430" s="96" t="e">
        <f>#REF!-#REF!</f>
        <v>#REF!</v>
      </c>
    </row>
    <row r="431" spans="2:28" s="55" customFormat="1" x14ac:dyDescent="0.3">
      <c r="B431" s="191">
        <v>303</v>
      </c>
      <c r="C431" s="205" t="s">
        <v>685</v>
      </c>
      <c r="D431" s="192"/>
      <c r="E431" s="208">
        <v>45730</v>
      </c>
      <c r="F431" s="192" t="s">
        <v>686</v>
      </c>
      <c r="G431" s="209" t="s">
        <v>666</v>
      </c>
      <c r="H431" s="194">
        <v>14400000</v>
      </c>
      <c r="I431" s="224"/>
      <c r="J431" s="225">
        <f t="shared" si="98"/>
        <v>9</v>
      </c>
      <c r="K431" s="268">
        <v>36</v>
      </c>
      <c r="L431" s="198">
        <f t="shared" si="97"/>
        <v>0.25</v>
      </c>
      <c r="M431" s="194">
        <v>11200000</v>
      </c>
      <c r="N431" s="199">
        <f t="shared" si="100"/>
        <v>400000</v>
      </c>
      <c r="O431" s="200">
        <f t="shared" ref="O431:O478" si="103">SUM(H431*3/100)</f>
        <v>432000</v>
      </c>
      <c r="P431" s="200"/>
      <c r="Q431" s="200">
        <f t="shared" si="99"/>
        <v>832000</v>
      </c>
      <c r="R431" s="201">
        <f>'[1]NOV''25'!Q439+N431-V431</f>
        <v>0</v>
      </c>
      <c r="S431" s="201">
        <f>'[1]NOV''25'!R439+O431-W431</f>
        <v>0</v>
      </c>
      <c r="T431" s="201">
        <f>'[1]NOV''25'!S439+P431-X431</f>
        <v>0</v>
      </c>
      <c r="U431" s="200">
        <f t="shared" si="96"/>
        <v>0</v>
      </c>
      <c r="V431" s="202">
        <v>400000</v>
      </c>
      <c r="W431" s="203">
        <v>432000</v>
      </c>
      <c r="X431" s="203"/>
      <c r="Y431" s="200">
        <f t="shared" si="101"/>
        <v>832000</v>
      </c>
      <c r="Z431" s="207">
        <f t="shared" si="102"/>
        <v>10800000</v>
      </c>
      <c r="AA431" s="96"/>
      <c r="AB431" s="96" t="e">
        <f>#REF!-#REF!</f>
        <v>#REF!</v>
      </c>
    </row>
    <row r="432" spans="2:28" s="55" customFormat="1" x14ac:dyDescent="0.3">
      <c r="B432" s="191">
        <v>304</v>
      </c>
      <c r="C432" s="192" t="s">
        <v>687</v>
      </c>
      <c r="D432" s="192"/>
      <c r="E432" s="208">
        <v>45733</v>
      </c>
      <c r="F432" s="192" t="s">
        <v>688</v>
      </c>
      <c r="G432" s="209" t="s">
        <v>677</v>
      </c>
      <c r="H432" s="194">
        <v>8310000</v>
      </c>
      <c r="I432" s="224"/>
      <c r="J432" s="225">
        <f t="shared" si="98"/>
        <v>9.0000014440433187</v>
      </c>
      <c r="K432" s="268">
        <v>36</v>
      </c>
      <c r="L432" s="198">
        <f t="shared" si="97"/>
        <v>0.25000004011231441</v>
      </c>
      <c r="M432" s="194">
        <v>6463333</v>
      </c>
      <c r="N432" s="199">
        <f t="shared" si="100"/>
        <v>230833.33333333334</v>
      </c>
      <c r="O432" s="200">
        <f t="shared" si="103"/>
        <v>249300</v>
      </c>
      <c r="P432" s="200"/>
      <c r="Q432" s="200">
        <f t="shared" si="99"/>
        <v>480133.33333333337</v>
      </c>
      <c r="R432" s="201">
        <f>'[1]NOV''25'!Q440+N432-V432</f>
        <v>3.4924596548080444E-10</v>
      </c>
      <c r="S432" s="201">
        <f>'[1]NOV''25'!R440+O432-W432</f>
        <v>0</v>
      </c>
      <c r="T432" s="201">
        <f>'[1]NOV''25'!S440+P432-X432</f>
        <v>0</v>
      </c>
      <c r="U432" s="200">
        <f t="shared" si="96"/>
        <v>3.4924596548080444E-10</v>
      </c>
      <c r="V432" s="202">
        <v>230833.33333333299</v>
      </c>
      <c r="W432" s="203">
        <v>249300</v>
      </c>
      <c r="X432" s="203"/>
      <c r="Y432" s="200">
        <f t="shared" si="101"/>
        <v>480133.33333333302</v>
      </c>
      <c r="Z432" s="207">
        <f t="shared" si="102"/>
        <v>6232499.666666667</v>
      </c>
      <c r="AA432" s="96"/>
      <c r="AB432" s="96" t="e">
        <f>#REF!-#REF!</f>
        <v>#REF!</v>
      </c>
    </row>
    <row r="433" spans="1:28" s="55" customFormat="1" x14ac:dyDescent="0.3">
      <c r="B433" s="191">
        <v>305</v>
      </c>
      <c r="C433" s="192" t="s">
        <v>689</v>
      </c>
      <c r="D433" s="192"/>
      <c r="E433" s="208">
        <v>45734</v>
      </c>
      <c r="F433" s="192" t="s">
        <v>690</v>
      </c>
      <c r="G433" s="209" t="s">
        <v>677</v>
      </c>
      <c r="H433" s="194">
        <v>5000000</v>
      </c>
      <c r="I433" s="224"/>
      <c r="J433" s="225">
        <f t="shared" si="98"/>
        <v>9.0000015999999796</v>
      </c>
      <c r="K433" s="268">
        <v>36</v>
      </c>
      <c r="L433" s="198">
        <f t="shared" si="97"/>
        <v>0.2500000444444439</v>
      </c>
      <c r="M433" s="194">
        <v>3888888.6666666698</v>
      </c>
      <c r="N433" s="199">
        <f t="shared" si="100"/>
        <v>138888.88888888888</v>
      </c>
      <c r="O433" s="200">
        <f t="shared" si="103"/>
        <v>150000</v>
      </c>
      <c r="P433" s="200"/>
      <c r="Q433" s="200">
        <f t="shared" si="99"/>
        <v>288888.88888888888</v>
      </c>
      <c r="R433" s="201">
        <f>'[1]NOV''25'!Q441+N433-V433</f>
        <v>0</v>
      </c>
      <c r="S433" s="201">
        <f>'[1]NOV''25'!R441+O433-W433</f>
        <v>0</v>
      </c>
      <c r="T433" s="201">
        <f>'[1]NOV''25'!S441+P433-X433</f>
        <v>0</v>
      </c>
      <c r="U433" s="200">
        <f t="shared" si="96"/>
        <v>0</v>
      </c>
      <c r="V433" s="202">
        <v>138888.88888888899</v>
      </c>
      <c r="W433" s="203">
        <v>150000</v>
      </c>
      <c r="X433" s="203"/>
      <c r="Y433" s="200">
        <f t="shared" si="101"/>
        <v>288888.88888888899</v>
      </c>
      <c r="Z433" s="207">
        <f t="shared" si="102"/>
        <v>3749999.7777777808</v>
      </c>
      <c r="AA433" s="96"/>
      <c r="AB433" s="96" t="e">
        <f>#REF!-#REF!</f>
        <v>#REF!</v>
      </c>
    </row>
    <row r="434" spans="1:28" s="55" customFormat="1" x14ac:dyDescent="0.3">
      <c r="B434" s="191">
        <v>306</v>
      </c>
      <c r="C434" s="192" t="s">
        <v>691</v>
      </c>
      <c r="D434" s="192"/>
      <c r="E434" s="208">
        <v>45734</v>
      </c>
      <c r="F434" s="192" t="s">
        <v>692</v>
      </c>
      <c r="G434" s="209" t="s">
        <v>677</v>
      </c>
      <c r="H434" s="194">
        <v>10930000</v>
      </c>
      <c r="I434" s="224"/>
      <c r="J434" s="225">
        <f t="shared" si="98"/>
        <v>8.9999992680695424</v>
      </c>
      <c r="K434" s="268">
        <v>36</v>
      </c>
      <c r="L434" s="198">
        <f t="shared" si="97"/>
        <v>0.24999997966859841</v>
      </c>
      <c r="M434" s="194">
        <v>8501111.3333333302</v>
      </c>
      <c r="N434" s="199">
        <f t="shared" si="100"/>
        <v>303611.11111111112</v>
      </c>
      <c r="O434" s="200">
        <f t="shared" si="103"/>
        <v>327900</v>
      </c>
      <c r="P434" s="200"/>
      <c r="Q434" s="200">
        <f t="shared" si="99"/>
        <v>631511.11111111112</v>
      </c>
      <c r="R434" s="201">
        <f>'[1]NOV''25'!Q442+N434-V434</f>
        <v>0</v>
      </c>
      <c r="S434" s="201">
        <f>'[1]NOV''25'!R442+O434-W434</f>
        <v>0</v>
      </c>
      <c r="T434" s="201">
        <f>'[1]NOV''25'!S442+P434-X434</f>
        <v>0</v>
      </c>
      <c r="U434" s="200">
        <f t="shared" si="96"/>
        <v>0</v>
      </c>
      <c r="V434" s="202">
        <v>303611.11111111101</v>
      </c>
      <c r="W434" s="203">
        <v>327900</v>
      </c>
      <c r="X434" s="203"/>
      <c r="Y434" s="200">
        <f t="shared" si="101"/>
        <v>631511.11111111101</v>
      </c>
      <c r="Z434" s="207">
        <f t="shared" si="102"/>
        <v>8197500.2222222192</v>
      </c>
      <c r="AA434" s="96"/>
      <c r="AB434" s="96" t="e">
        <f>#REF!-#REF!</f>
        <v>#REF!</v>
      </c>
    </row>
    <row r="435" spans="1:28" s="55" customFormat="1" x14ac:dyDescent="0.3">
      <c r="B435" s="191">
        <v>307</v>
      </c>
      <c r="C435" s="192" t="s">
        <v>693</v>
      </c>
      <c r="D435" s="192"/>
      <c r="E435" s="208">
        <v>45734</v>
      </c>
      <c r="F435" s="192" t="s">
        <v>694</v>
      </c>
      <c r="G435" s="209" t="s">
        <v>677</v>
      </c>
      <c r="H435" s="194">
        <v>9910000</v>
      </c>
      <c r="I435" s="224"/>
      <c r="J435" s="225">
        <f t="shared" si="98"/>
        <v>9.00000161453079</v>
      </c>
      <c r="K435" s="268">
        <v>36</v>
      </c>
      <c r="L435" s="198">
        <f t="shared" si="97"/>
        <v>0.25000004484807747</v>
      </c>
      <c r="M435" s="194">
        <v>7707777.3333333302</v>
      </c>
      <c r="N435" s="199">
        <f t="shared" si="100"/>
        <v>275277.77777777775</v>
      </c>
      <c r="O435" s="200">
        <f t="shared" si="103"/>
        <v>297300</v>
      </c>
      <c r="P435" s="200"/>
      <c r="Q435" s="200">
        <f t="shared" si="99"/>
        <v>572577.77777777775</v>
      </c>
      <c r="R435" s="201">
        <f>'[1]NOV''25'!Q443+N435-V435</f>
        <v>0</v>
      </c>
      <c r="S435" s="201">
        <f>'[1]NOV''25'!R443+O435-W435</f>
        <v>0</v>
      </c>
      <c r="T435" s="201">
        <f>'[1]NOV''25'!S443+P435-X435</f>
        <v>0</v>
      </c>
      <c r="U435" s="200">
        <f t="shared" si="96"/>
        <v>0</v>
      </c>
      <c r="V435" s="202">
        <v>275277.77777777798</v>
      </c>
      <c r="W435" s="203">
        <v>297300</v>
      </c>
      <c r="X435" s="203"/>
      <c r="Y435" s="200">
        <f t="shared" si="101"/>
        <v>572577.77777777798</v>
      </c>
      <c r="Z435" s="207">
        <f t="shared" si="102"/>
        <v>7432499.5555555522</v>
      </c>
      <c r="AA435" s="96"/>
      <c r="AB435" s="96" t="e">
        <f>#REF!-#REF!</f>
        <v>#REF!</v>
      </c>
    </row>
    <row r="436" spans="1:28" s="55" customFormat="1" x14ac:dyDescent="0.3">
      <c r="B436" s="191">
        <v>308</v>
      </c>
      <c r="C436" s="192" t="s">
        <v>695</v>
      </c>
      <c r="D436" s="192"/>
      <c r="E436" s="208">
        <v>45734</v>
      </c>
      <c r="F436" s="192" t="s">
        <v>696</v>
      </c>
      <c r="G436" s="209" t="s">
        <v>677</v>
      </c>
      <c r="H436" s="194">
        <v>10800000</v>
      </c>
      <c r="I436" s="224"/>
      <c r="J436" s="225">
        <f t="shared" si="98"/>
        <v>9</v>
      </c>
      <c r="K436" s="268">
        <v>36</v>
      </c>
      <c r="L436" s="198">
        <f t="shared" si="97"/>
        <v>0.25</v>
      </c>
      <c r="M436" s="194">
        <v>8400000</v>
      </c>
      <c r="N436" s="199">
        <f t="shared" si="100"/>
        <v>300000</v>
      </c>
      <c r="O436" s="200">
        <f t="shared" si="103"/>
        <v>324000</v>
      </c>
      <c r="P436" s="200"/>
      <c r="Q436" s="200">
        <f t="shared" si="99"/>
        <v>624000</v>
      </c>
      <c r="R436" s="201">
        <f>'[1]NOV''25'!Q444+N436-V436</f>
        <v>0</v>
      </c>
      <c r="S436" s="201">
        <f>'[1]NOV''25'!R444+O436-W436</f>
        <v>0</v>
      </c>
      <c r="T436" s="201">
        <f>'[1]NOV''25'!S444+P436-X436</f>
        <v>0</v>
      </c>
      <c r="U436" s="200">
        <f t="shared" si="96"/>
        <v>0</v>
      </c>
      <c r="V436" s="202">
        <v>300000</v>
      </c>
      <c r="W436" s="203">
        <v>324000</v>
      </c>
      <c r="X436" s="203"/>
      <c r="Y436" s="200">
        <f t="shared" si="101"/>
        <v>624000</v>
      </c>
      <c r="Z436" s="207">
        <f t="shared" si="102"/>
        <v>8100000</v>
      </c>
      <c r="AA436" s="96"/>
      <c r="AB436" s="96" t="e">
        <f>#REF!-#REF!</f>
        <v>#REF!</v>
      </c>
    </row>
    <row r="437" spans="1:28" s="55" customFormat="1" x14ac:dyDescent="0.3">
      <c r="B437" s="191">
        <v>309</v>
      </c>
      <c r="C437" s="192" t="s">
        <v>697</v>
      </c>
      <c r="D437" s="192"/>
      <c r="E437" s="208">
        <v>45734</v>
      </c>
      <c r="F437" s="192" t="s">
        <v>698</v>
      </c>
      <c r="G437" s="209" t="s">
        <v>677</v>
      </c>
      <c r="H437" s="194">
        <v>2200000</v>
      </c>
      <c r="I437" s="224"/>
      <c r="J437" s="225">
        <f t="shared" si="98"/>
        <v>8.9999963636364164</v>
      </c>
      <c r="K437" s="268">
        <v>36</v>
      </c>
      <c r="L437" s="198">
        <f t="shared" si="97"/>
        <v>0.24999989898990047</v>
      </c>
      <c r="M437" s="194">
        <v>1711111.33333333</v>
      </c>
      <c r="N437" s="199">
        <f t="shared" si="100"/>
        <v>61111.111111111109</v>
      </c>
      <c r="O437" s="200">
        <f t="shared" si="103"/>
        <v>66000</v>
      </c>
      <c r="P437" s="200"/>
      <c r="Q437" s="200">
        <f t="shared" si="99"/>
        <v>127111.11111111111</v>
      </c>
      <c r="R437" s="201">
        <f>'[1]NOV''25'!Q445+N437-V437</f>
        <v>0</v>
      </c>
      <c r="S437" s="201">
        <f>'[1]NOV''25'!R445+O437-W437</f>
        <v>0</v>
      </c>
      <c r="T437" s="201">
        <f>'[1]NOV''25'!S445+P437-X437</f>
        <v>0</v>
      </c>
      <c r="U437" s="200">
        <f t="shared" si="96"/>
        <v>0</v>
      </c>
      <c r="V437" s="202">
        <v>61111.111111111102</v>
      </c>
      <c r="W437" s="203">
        <v>66000</v>
      </c>
      <c r="X437" s="203"/>
      <c r="Y437" s="200">
        <f t="shared" si="101"/>
        <v>127111.11111111109</v>
      </c>
      <c r="Z437" s="207">
        <f t="shared" si="102"/>
        <v>1650000.222222219</v>
      </c>
      <c r="AA437" s="96"/>
      <c r="AB437" s="96" t="e">
        <f>#REF!-#REF!</f>
        <v>#REF!</v>
      </c>
    </row>
    <row r="438" spans="1:28" s="55" customFormat="1" x14ac:dyDescent="0.3">
      <c r="B438" s="191">
        <v>310</v>
      </c>
      <c r="C438" s="205" t="s">
        <v>699</v>
      </c>
      <c r="D438" s="192"/>
      <c r="E438" s="208">
        <v>45736</v>
      </c>
      <c r="F438" s="192" t="s">
        <v>700</v>
      </c>
      <c r="G438" s="209" t="s">
        <v>701</v>
      </c>
      <c r="H438" s="194">
        <v>3800000</v>
      </c>
      <c r="I438" s="224"/>
      <c r="J438" s="225">
        <f t="shared" si="98"/>
        <v>8.999998947368395</v>
      </c>
      <c r="K438" s="268">
        <v>36</v>
      </c>
      <c r="L438" s="198">
        <f t="shared" si="97"/>
        <v>0.2499999707602332</v>
      </c>
      <c r="M438" s="194">
        <v>2955555.6666666698</v>
      </c>
      <c r="N438" s="199">
        <f t="shared" si="100"/>
        <v>105555.55555555556</v>
      </c>
      <c r="O438" s="200">
        <f t="shared" si="103"/>
        <v>114000</v>
      </c>
      <c r="P438" s="200"/>
      <c r="Q438" s="200">
        <f t="shared" si="99"/>
        <v>219555.55555555556</v>
      </c>
      <c r="R438" s="201">
        <f>'[1]NOV''25'!Q446+N438-V438</f>
        <v>-4.3655745685100555E-10</v>
      </c>
      <c r="S438" s="201">
        <f>'[1]NOV''25'!R446+O438-W438</f>
        <v>0</v>
      </c>
      <c r="T438" s="201">
        <f>'[1]NOV''25'!S446+P438-X438</f>
        <v>0</v>
      </c>
      <c r="U438" s="200">
        <f t="shared" si="96"/>
        <v>-4.3655745685100555E-10</v>
      </c>
      <c r="V438" s="202">
        <v>105555.555555556</v>
      </c>
      <c r="W438" s="203">
        <v>114000</v>
      </c>
      <c r="X438" s="203"/>
      <c r="Y438" s="200">
        <f t="shared" si="101"/>
        <v>219555.555555556</v>
      </c>
      <c r="Z438" s="207">
        <f t="shared" si="102"/>
        <v>2850000.1111111138</v>
      </c>
      <c r="AA438" s="96"/>
      <c r="AB438" s="96" t="e">
        <f>#REF!-#REF!</f>
        <v>#REF!</v>
      </c>
    </row>
    <row r="439" spans="1:28" s="55" customFormat="1" x14ac:dyDescent="0.3">
      <c r="B439" s="191">
        <v>311</v>
      </c>
      <c r="C439" s="192" t="s">
        <v>702</v>
      </c>
      <c r="D439" s="192"/>
      <c r="E439" s="208">
        <v>45736</v>
      </c>
      <c r="F439" s="192" t="s">
        <v>703</v>
      </c>
      <c r="G439" s="209" t="s">
        <v>701</v>
      </c>
      <c r="H439" s="194">
        <v>5650000</v>
      </c>
      <c r="I439" s="224"/>
      <c r="J439" s="225">
        <f t="shared" si="98"/>
        <v>9.0000007079645599</v>
      </c>
      <c r="K439" s="268">
        <v>36</v>
      </c>
      <c r="L439" s="198">
        <f t="shared" si="97"/>
        <v>0.25000001966568219</v>
      </c>
      <c r="M439" s="194">
        <v>4394444.3333333395</v>
      </c>
      <c r="N439" s="199">
        <f t="shared" si="100"/>
        <v>156944.44444444444</v>
      </c>
      <c r="O439" s="200">
        <f t="shared" si="103"/>
        <v>169500</v>
      </c>
      <c r="P439" s="200"/>
      <c r="Q439" s="200">
        <f t="shared" si="99"/>
        <v>326444.44444444444</v>
      </c>
      <c r="R439" s="201">
        <f>'[1]NOV''25'!Q447+N439-V439</f>
        <v>4.3655745685100555E-10</v>
      </c>
      <c r="S439" s="201">
        <f>'[1]NOV''25'!R447+O439-W439</f>
        <v>0</v>
      </c>
      <c r="T439" s="201">
        <f>'[1]NOV''25'!S447+P439-X439</f>
        <v>0</v>
      </c>
      <c r="U439" s="200">
        <f t="shared" si="96"/>
        <v>4.3655745685100555E-10</v>
      </c>
      <c r="V439" s="202">
        <v>156944.444444444</v>
      </c>
      <c r="W439" s="203">
        <v>169500</v>
      </c>
      <c r="X439" s="203"/>
      <c r="Y439" s="200">
        <f t="shared" si="101"/>
        <v>326444.44444444403</v>
      </c>
      <c r="Z439" s="207">
        <f t="shared" si="102"/>
        <v>4237499.8888888955</v>
      </c>
      <c r="AA439" s="96"/>
      <c r="AB439" s="96" t="e">
        <f>#REF!-#REF!</f>
        <v>#REF!</v>
      </c>
    </row>
    <row r="440" spans="1:28" s="55" customFormat="1" x14ac:dyDescent="0.3">
      <c r="B440" s="191">
        <v>312</v>
      </c>
      <c r="C440" s="205" t="s">
        <v>704</v>
      </c>
      <c r="D440" s="192"/>
      <c r="E440" s="208">
        <v>45755</v>
      </c>
      <c r="F440" s="192" t="s">
        <v>705</v>
      </c>
      <c r="G440" s="209" t="s">
        <v>706</v>
      </c>
      <c r="H440" s="194">
        <v>8700000</v>
      </c>
      <c r="I440" s="224"/>
      <c r="J440" s="225">
        <f t="shared" si="98"/>
        <v>8.0000013793103459</v>
      </c>
      <c r="K440" s="268">
        <v>36</v>
      </c>
      <c r="L440" s="198">
        <f t="shared" si="97"/>
        <v>0.22222226053639849</v>
      </c>
      <c r="M440" s="194">
        <v>7008333</v>
      </c>
      <c r="N440" s="199">
        <f t="shared" si="100"/>
        <v>241666.66666666666</v>
      </c>
      <c r="O440" s="200">
        <f t="shared" si="103"/>
        <v>261000</v>
      </c>
      <c r="P440" s="200"/>
      <c r="Q440" s="200">
        <f t="shared" si="99"/>
        <v>502666.66666666663</v>
      </c>
      <c r="R440" s="201">
        <f>'[1]NOV''25'!Q448+N440-V440</f>
        <v>-3.4924596548080444E-10</v>
      </c>
      <c r="S440" s="201">
        <f>'[1]NOV''25'!R448+O440-W440</f>
        <v>0</v>
      </c>
      <c r="T440" s="201">
        <f>'[1]NOV''25'!S448+P440-X440</f>
        <v>0</v>
      </c>
      <c r="U440" s="200">
        <f t="shared" si="96"/>
        <v>-3.4924596548080444E-10</v>
      </c>
      <c r="V440" s="202">
        <v>241666.66666666701</v>
      </c>
      <c r="W440" s="203">
        <v>261000</v>
      </c>
      <c r="X440" s="203"/>
      <c r="Y440" s="200">
        <f t="shared" si="101"/>
        <v>502666.66666666698</v>
      </c>
      <c r="Z440" s="207">
        <f t="shared" si="102"/>
        <v>6766666.333333333</v>
      </c>
      <c r="AA440" s="96"/>
      <c r="AB440" s="96" t="e">
        <f>#REF!-#REF!</f>
        <v>#REF!</v>
      </c>
    </row>
    <row r="441" spans="1:28" s="55" customFormat="1" x14ac:dyDescent="0.3">
      <c r="B441" s="191">
        <v>313</v>
      </c>
      <c r="C441" s="205" t="s">
        <v>707</v>
      </c>
      <c r="D441" s="192"/>
      <c r="E441" s="208">
        <v>45756</v>
      </c>
      <c r="F441" s="192" t="s">
        <v>708</v>
      </c>
      <c r="G441" s="209" t="s">
        <v>303</v>
      </c>
      <c r="H441" s="194">
        <v>6720000</v>
      </c>
      <c r="I441" s="224"/>
      <c r="J441" s="225">
        <f t="shared" si="98"/>
        <v>8.0000000000000195</v>
      </c>
      <c r="K441" s="268">
        <v>36</v>
      </c>
      <c r="L441" s="198">
        <f t="shared" si="97"/>
        <v>0.22222222222222276</v>
      </c>
      <c r="M441" s="194">
        <v>5413333.3333333302</v>
      </c>
      <c r="N441" s="199">
        <f t="shared" si="100"/>
        <v>186666.66666666666</v>
      </c>
      <c r="O441" s="200">
        <f t="shared" si="103"/>
        <v>201600</v>
      </c>
      <c r="P441" s="200"/>
      <c r="Q441" s="200">
        <f t="shared" si="99"/>
        <v>388266.66666666663</v>
      </c>
      <c r="R441" s="201">
        <f>'[1]NOV''25'!Q449+N441-V441</f>
        <v>0.33333333226619288</v>
      </c>
      <c r="S441" s="201">
        <f>'[1]NOV''25'!R449+O441-W441</f>
        <v>0</v>
      </c>
      <c r="T441" s="201">
        <f>'[1]NOV''25'!S449+P441-X441</f>
        <v>0</v>
      </c>
      <c r="U441" s="200">
        <f t="shared" si="96"/>
        <v>0.33333333226619288</v>
      </c>
      <c r="V441" s="202">
        <f>186666.666666667</f>
        <v>186666.66666666701</v>
      </c>
      <c r="W441" s="203">
        <f>201600</f>
        <v>201600</v>
      </c>
      <c r="X441" s="203"/>
      <c r="Y441" s="200">
        <f t="shared" si="101"/>
        <v>388266.66666666698</v>
      </c>
      <c r="Z441" s="207">
        <f t="shared" si="102"/>
        <v>5226666.6666666633</v>
      </c>
      <c r="AA441" s="96"/>
      <c r="AB441" s="96" t="e">
        <f>#REF!-#REF!</f>
        <v>#REF!</v>
      </c>
    </row>
    <row r="442" spans="1:28" s="55" customFormat="1" x14ac:dyDescent="0.3">
      <c r="A442" s="55" t="s">
        <v>127</v>
      </c>
      <c r="B442" s="191">
        <v>314</v>
      </c>
      <c r="C442" s="192" t="s">
        <v>709</v>
      </c>
      <c r="D442" s="192"/>
      <c r="E442" s="208">
        <v>45756</v>
      </c>
      <c r="F442" s="192" t="s">
        <v>710</v>
      </c>
      <c r="G442" s="209" t="s">
        <v>711</v>
      </c>
      <c r="H442" s="194">
        <v>10000000</v>
      </c>
      <c r="I442" s="224"/>
      <c r="J442" s="206">
        <f t="shared" si="98"/>
        <v>8.000000772000007</v>
      </c>
      <c r="K442" s="268">
        <v>36</v>
      </c>
      <c r="L442" s="198">
        <f t="shared" si="97"/>
        <v>0.22222224366666687</v>
      </c>
      <c r="M442" s="194">
        <v>8055555.3411111096</v>
      </c>
      <c r="N442" s="199">
        <f t="shared" si="100"/>
        <v>277777.77777777775</v>
      </c>
      <c r="O442" s="200">
        <f t="shared" si="103"/>
        <v>300000</v>
      </c>
      <c r="P442" s="200"/>
      <c r="Q442" s="200">
        <f t="shared" si="99"/>
        <v>577777.77777777775</v>
      </c>
      <c r="R442" s="201">
        <f>'[1]NOV''25'!Q450+N442-V442</f>
        <v>5.5555552244186401E-3</v>
      </c>
      <c r="S442" s="201">
        <f>'[1]NOV''25'!R450+O442-W442</f>
        <v>0</v>
      </c>
      <c r="T442" s="201">
        <f>'[1]NOV''25'!S450+P442-X442</f>
        <v>0</v>
      </c>
      <c r="U442" s="200">
        <f t="shared" si="96"/>
        <v>5.5555552244186401E-3</v>
      </c>
      <c r="V442" s="202">
        <v>277777.77777777798</v>
      </c>
      <c r="W442" s="203">
        <v>300000</v>
      </c>
      <c r="X442" s="203"/>
      <c r="Y442" s="200">
        <f t="shared" si="101"/>
        <v>577777.77777777798</v>
      </c>
      <c r="Z442" s="207">
        <f t="shared" si="102"/>
        <v>7777777.5633333316</v>
      </c>
      <c r="AA442" s="96"/>
      <c r="AB442" s="96" t="e">
        <f>#REF!-#REF!</f>
        <v>#REF!</v>
      </c>
    </row>
    <row r="443" spans="1:28" s="55" customFormat="1" x14ac:dyDescent="0.3">
      <c r="B443" s="191">
        <v>315</v>
      </c>
      <c r="C443" s="192" t="s">
        <v>712</v>
      </c>
      <c r="D443" s="192"/>
      <c r="E443" s="208">
        <v>45757</v>
      </c>
      <c r="F443" s="192" t="s">
        <v>713</v>
      </c>
      <c r="G443" s="209" t="s">
        <v>677</v>
      </c>
      <c r="H443" s="194">
        <v>9430000</v>
      </c>
      <c r="I443" s="224"/>
      <c r="J443" s="225">
        <f t="shared" si="98"/>
        <v>7.9999983032873558</v>
      </c>
      <c r="K443" s="268">
        <v>36</v>
      </c>
      <c r="L443" s="198">
        <f t="shared" si="97"/>
        <v>0.22222217509131545</v>
      </c>
      <c r="M443" s="194">
        <v>7596389.3333333395</v>
      </c>
      <c r="N443" s="199">
        <f t="shared" si="100"/>
        <v>261944.44444444444</v>
      </c>
      <c r="O443" s="200">
        <f t="shared" si="103"/>
        <v>282900</v>
      </c>
      <c r="P443" s="200"/>
      <c r="Q443" s="200">
        <f t="shared" si="99"/>
        <v>544844.4444444445</v>
      </c>
      <c r="R443" s="201">
        <f>'[1]NOV''25'!Q451+N443-V443</f>
        <v>4.3655745685100555E-10</v>
      </c>
      <c r="S443" s="201">
        <f>'[1]NOV''25'!R451+O443-W443</f>
        <v>0</v>
      </c>
      <c r="T443" s="201">
        <f>'[1]NOV''25'!S451+P443-X443</f>
        <v>0</v>
      </c>
      <c r="U443" s="200">
        <f t="shared" si="96"/>
        <v>4.3655745685100555E-10</v>
      </c>
      <c r="V443" s="202">
        <v>261944.444444444</v>
      </c>
      <c r="W443" s="203">
        <v>282900</v>
      </c>
      <c r="X443" s="203"/>
      <c r="Y443" s="200">
        <f t="shared" si="101"/>
        <v>544844.44444444403</v>
      </c>
      <c r="Z443" s="207">
        <f t="shared" si="102"/>
        <v>7334444.8888888955</v>
      </c>
      <c r="AA443" s="96"/>
      <c r="AB443" s="96" t="e">
        <f>#REF!-#REF!</f>
        <v>#REF!</v>
      </c>
    </row>
    <row r="444" spans="1:28" s="55" customFormat="1" x14ac:dyDescent="0.3">
      <c r="A444" s="55" t="s">
        <v>714</v>
      </c>
      <c r="B444" s="191">
        <v>316</v>
      </c>
      <c r="C444" s="192" t="s">
        <v>715</v>
      </c>
      <c r="D444" s="192"/>
      <c r="E444" s="208">
        <v>45757</v>
      </c>
      <c r="F444" s="192" t="s">
        <v>716</v>
      </c>
      <c r="G444" s="209" t="s">
        <v>242</v>
      </c>
      <c r="H444" s="194">
        <v>11650000</v>
      </c>
      <c r="I444" s="224"/>
      <c r="J444" s="225">
        <f t="shared" si="98"/>
        <v>7.9999993133047358</v>
      </c>
      <c r="K444" s="268">
        <v>36</v>
      </c>
      <c r="L444" s="198">
        <f t="shared" si="97"/>
        <v>0.22222220314735378</v>
      </c>
      <c r="M444" s="194">
        <v>9384722.4444444403</v>
      </c>
      <c r="N444" s="199">
        <f t="shared" si="100"/>
        <v>323611.11111111112</v>
      </c>
      <c r="O444" s="200">
        <f t="shared" si="103"/>
        <v>349500</v>
      </c>
      <c r="P444" s="200"/>
      <c r="Q444" s="200">
        <f t="shared" si="99"/>
        <v>673111.11111111112</v>
      </c>
      <c r="R444" s="201">
        <f>'[1]NOV''25'!Q452+N444-V444</f>
        <v>0.11111111124046147</v>
      </c>
      <c r="S444" s="201">
        <f>'[1]NOV''25'!R452+O444-W444</f>
        <v>0</v>
      </c>
      <c r="T444" s="201">
        <f>'[1]NOV''25'!S452+P444-X444</f>
        <v>0</v>
      </c>
      <c r="U444" s="200">
        <f t="shared" si="96"/>
        <v>0.11111111124046147</v>
      </c>
      <c r="V444" s="202">
        <f>323611.111111111</f>
        <v>323611.11111111101</v>
      </c>
      <c r="W444" s="203">
        <v>349500</v>
      </c>
      <c r="X444" s="203"/>
      <c r="Y444" s="200">
        <f t="shared" si="101"/>
        <v>673111.11111111101</v>
      </c>
      <c r="Z444" s="207">
        <f t="shared" si="102"/>
        <v>9061111.3333333284</v>
      </c>
      <c r="AA444" s="96"/>
      <c r="AB444" s="96" t="e">
        <f>#REF!-#REF!</f>
        <v>#REF!</v>
      </c>
    </row>
    <row r="445" spans="1:28" s="55" customFormat="1" x14ac:dyDescent="0.3">
      <c r="A445" s="55" t="s">
        <v>127</v>
      </c>
      <c r="B445" s="191">
        <v>317</v>
      </c>
      <c r="C445" s="192" t="s">
        <v>717</v>
      </c>
      <c r="D445" s="192"/>
      <c r="E445" s="208">
        <v>45757</v>
      </c>
      <c r="F445" s="192" t="s">
        <v>718</v>
      </c>
      <c r="G445" s="209" t="s">
        <v>719</v>
      </c>
      <c r="H445" s="194">
        <v>10000000</v>
      </c>
      <c r="I445" s="224"/>
      <c r="J445" s="225">
        <f t="shared" si="98"/>
        <v>8.0000012000000087</v>
      </c>
      <c r="K445" s="268">
        <v>36</v>
      </c>
      <c r="L445" s="198">
        <f t="shared" si="97"/>
        <v>0.2222222555555558</v>
      </c>
      <c r="M445" s="194">
        <v>8055555.2222222202</v>
      </c>
      <c r="N445" s="199">
        <f t="shared" si="100"/>
        <v>277777.77777777775</v>
      </c>
      <c r="O445" s="200">
        <f t="shared" si="103"/>
        <v>300000</v>
      </c>
      <c r="P445" s="200"/>
      <c r="Q445" s="200">
        <f t="shared" si="99"/>
        <v>577777.77777777775</v>
      </c>
      <c r="R445" s="201">
        <f>'[1]NOV''25'!Q453+N445-V445</f>
        <v>-0.11111111147329211</v>
      </c>
      <c r="S445" s="201">
        <f>'[1]NOV''25'!R453+O445-W445</f>
        <v>0</v>
      </c>
      <c r="T445" s="201">
        <f>'[1]NOV''25'!S453+P445-X445</f>
        <v>0</v>
      </c>
      <c r="U445" s="200">
        <f t="shared" si="96"/>
        <v>-0.11111111147329211</v>
      </c>
      <c r="V445" s="202">
        <f>277777.777777778</f>
        <v>277777.77777777798</v>
      </c>
      <c r="W445" s="203">
        <v>300000</v>
      </c>
      <c r="X445" s="203"/>
      <c r="Y445" s="200">
        <f t="shared" si="101"/>
        <v>577777.77777777798</v>
      </c>
      <c r="Z445" s="207">
        <f t="shared" si="102"/>
        <v>7777777.4444444422</v>
      </c>
      <c r="AA445" s="96"/>
      <c r="AB445" s="96" t="e">
        <f>#REF!-#REF!</f>
        <v>#REF!</v>
      </c>
    </row>
    <row r="446" spans="1:28" s="55" customFormat="1" x14ac:dyDescent="0.3">
      <c r="A446" s="55" t="s">
        <v>127</v>
      </c>
      <c r="B446" s="191">
        <v>318</v>
      </c>
      <c r="C446" s="192">
        <v>5003459700</v>
      </c>
      <c r="D446" s="192"/>
      <c r="E446" s="208">
        <v>45761</v>
      </c>
      <c r="F446" s="192" t="s">
        <v>720</v>
      </c>
      <c r="G446" s="209" t="s">
        <v>677</v>
      </c>
      <c r="H446" s="194">
        <v>15100000</v>
      </c>
      <c r="I446" s="224"/>
      <c r="J446" s="225">
        <f t="shared" si="98"/>
        <v>7.9999984105959179</v>
      </c>
      <c r="K446" s="268">
        <v>36</v>
      </c>
      <c r="L446" s="198">
        <f t="shared" si="97"/>
        <v>0.22222217807210884</v>
      </c>
      <c r="M446" s="194">
        <v>12163889.555555601</v>
      </c>
      <c r="N446" s="199">
        <f t="shared" si="100"/>
        <v>419444.44444444444</v>
      </c>
      <c r="O446" s="200">
        <f t="shared" si="103"/>
        <v>453000</v>
      </c>
      <c r="P446" s="200"/>
      <c r="Q446" s="200">
        <f t="shared" si="99"/>
        <v>872444.4444444445</v>
      </c>
      <c r="R446" s="201">
        <f>'[1]NOV''25'!Q454+N446-V446</f>
        <v>0.22222222288837656</v>
      </c>
      <c r="S446" s="201">
        <f>'[1]NOV''25'!R454+O446-W446</f>
        <v>0</v>
      </c>
      <c r="T446" s="201">
        <f>'[1]NOV''25'!S454+P446-X446</f>
        <v>0</v>
      </c>
      <c r="U446" s="200">
        <f t="shared" si="96"/>
        <v>0.22222222288837656</v>
      </c>
      <c r="V446" s="202">
        <f>419444.444444444</f>
        <v>419444.44444444397</v>
      </c>
      <c r="W446" s="203">
        <v>453000</v>
      </c>
      <c r="X446" s="203"/>
      <c r="Y446" s="200">
        <f t="shared" si="101"/>
        <v>872444.44444444403</v>
      </c>
      <c r="Z446" s="207">
        <f t="shared" si="102"/>
        <v>11744445.111111157</v>
      </c>
      <c r="AA446" s="96"/>
      <c r="AB446" s="96" t="e">
        <f>#REF!-#REF!</f>
        <v>#REF!</v>
      </c>
    </row>
    <row r="447" spans="1:28" s="55" customFormat="1" x14ac:dyDescent="0.3">
      <c r="B447" s="191">
        <v>319</v>
      </c>
      <c r="C447" s="192" t="s">
        <v>721</v>
      </c>
      <c r="D447" s="192"/>
      <c r="E447" s="208">
        <v>45761</v>
      </c>
      <c r="F447" s="192" t="s">
        <v>722</v>
      </c>
      <c r="G447" s="209" t="s">
        <v>677</v>
      </c>
      <c r="H447" s="194">
        <v>10730000</v>
      </c>
      <c r="I447" s="224"/>
      <c r="J447" s="225">
        <f t="shared" si="98"/>
        <v>8.0000000000000053</v>
      </c>
      <c r="K447" s="268">
        <v>36</v>
      </c>
      <c r="L447" s="198">
        <f t="shared" si="97"/>
        <v>0.22222222222222238</v>
      </c>
      <c r="M447" s="194">
        <v>8643611.1111111101</v>
      </c>
      <c r="N447" s="199">
        <f t="shared" si="100"/>
        <v>298055.55555555556</v>
      </c>
      <c r="O447" s="200">
        <f t="shared" si="103"/>
        <v>321900</v>
      </c>
      <c r="P447" s="200"/>
      <c r="Q447" s="200">
        <f t="shared" si="99"/>
        <v>619955.5555555555</v>
      </c>
      <c r="R447" s="201">
        <f>'[1]NOV''25'!Q455+N447-V447</f>
        <v>0.44444444397231564</v>
      </c>
      <c r="S447" s="201">
        <f>'[1]NOV''25'!R455+O447-W447</f>
        <v>0</v>
      </c>
      <c r="T447" s="201">
        <f>'[1]NOV''25'!S455+P447-X447</f>
        <v>0</v>
      </c>
      <c r="U447" s="200">
        <f t="shared" si="96"/>
        <v>0.44444444397231564</v>
      </c>
      <c r="V447" s="202">
        <f>298055.555555556</f>
        <v>298055.55555555603</v>
      </c>
      <c r="W447" s="203">
        <v>321900</v>
      </c>
      <c r="X447" s="203"/>
      <c r="Y447" s="200">
        <f t="shared" si="101"/>
        <v>619955.55555555597</v>
      </c>
      <c r="Z447" s="207">
        <f t="shared" si="102"/>
        <v>8345555.5555555541</v>
      </c>
      <c r="AA447" s="96"/>
      <c r="AB447" s="96" t="e">
        <f>#REF!-#REF!</f>
        <v>#REF!</v>
      </c>
    </row>
    <row r="448" spans="1:28" s="55" customFormat="1" x14ac:dyDescent="0.3">
      <c r="B448" s="191">
        <v>320</v>
      </c>
      <c r="C448" s="192">
        <v>13133567900</v>
      </c>
      <c r="D448" s="192"/>
      <c r="E448" s="208">
        <v>45761</v>
      </c>
      <c r="F448" s="192" t="s">
        <v>723</v>
      </c>
      <c r="G448" s="209" t="s">
        <v>677</v>
      </c>
      <c r="H448" s="194">
        <v>9500000</v>
      </c>
      <c r="I448" s="224"/>
      <c r="J448" s="225">
        <f t="shared" si="98"/>
        <v>8.0000004210526203</v>
      </c>
      <c r="K448" s="268">
        <v>36</v>
      </c>
      <c r="L448" s="198">
        <f t="shared" si="97"/>
        <v>0.22222223391812834</v>
      </c>
      <c r="M448" s="194">
        <v>7652777.6666666698</v>
      </c>
      <c r="N448" s="199">
        <f t="shared" si="100"/>
        <v>263888.88888888888</v>
      </c>
      <c r="O448" s="200">
        <f t="shared" si="103"/>
        <v>285000</v>
      </c>
      <c r="P448" s="200"/>
      <c r="Q448" s="200">
        <f t="shared" si="99"/>
        <v>548888.88888888888</v>
      </c>
      <c r="R448" s="201">
        <f>'[1]NOV''25'!Q456+N448-V448</f>
        <v>0</v>
      </c>
      <c r="S448" s="201">
        <f>'[1]NOV''25'!R456+O448-W448</f>
        <v>0</v>
      </c>
      <c r="T448" s="201">
        <f>'[1]NOV''25'!S456+P448-X448</f>
        <v>0</v>
      </c>
      <c r="U448" s="200">
        <f t="shared" si="96"/>
        <v>0</v>
      </c>
      <c r="V448" s="202">
        <v>263888.88888888899</v>
      </c>
      <c r="W448" s="203">
        <v>285000</v>
      </c>
      <c r="X448" s="203"/>
      <c r="Y448" s="200">
        <f t="shared" si="101"/>
        <v>548888.88888888899</v>
      </c>
      <c r="Z448" s="207">
        <f t="shared" si="102"/>
        <v>7388888.7777777808</v>
      </c>
      <c r="AA448" s="96"/>
      <c r="AB448" s="96" t="e">
        <f>#REF!-#REF!</f>
        <v>#REF!</v>
      </c>
    </row>
    <row r="449" spans="2:28" s="55" customFormat="1" x14ac:dyDescent="0.3">
      <c r="B449" s="191">
        <v>321</v>
      </c>
      <c r="C449" s="192">
        <v>5005374100</v>
      </c>
      <c r="D449" s="192"/>
      <c r="E449" s="208">
        <v>45762</v>
      </c>
      <c r="F449" s="192" t="s">
        <v>724</v>
      </c>
      <c r="G449" s="209" t="s">
        <v>719</v>
      </c>
      <c r="H449" s="194">
        <v>5000000</v>
      </c>
      <c r="I449" s="224"/>
      <c r="J449" s="225">
        <f t="shared" si="98"/>
        <v>8.0000007999999792</v>
      </c>
      <c r="K449" s="268">
        <v>36</v>
      </c>
      <c r="L449" s="198">
        <f t="shared" si="97"/>
        <v>0.22222224444444386</v>
      </c>
      <c r="M449" s="194">
        <v>4027777.6666666698</v>
      </c>
      <c r="N449" s="199">
        <f t="shared" si="100"/>
        <v>138888.88888888888</v>
      </c>
      <c r="O449" s="200">
        <f t="shared" si="103"/>
        <v>150000</v>
      </c>
      <c r="P449" s="200"/>
      <c r="Q449" s="200">
        <f t="shared" si="99"/>
        <v>288888.88888888888</v>
      </c>
      <c r="R449" s="201">
        <f>'[1]NOV''25'!Q457+N449-V449</f>
        <v>0</v>
      </c>
      <c r="S449" s="201">
        <f>'[1]NOV''25'!R457+O449-W449</f>
        <v>0</v>
      </c>
      <c r="T449" s="201">
        <f>'[1]NOV''25'!S457+P449-X449</f>
        <v>0</v>
      </c>
      <c r="U449" s="200">
        <f t="shared" si="96"/>
        <v>0</v>
      </c>
      <c r="V449" s="202">
        <v>138888.88888888899</v>
      </c>
      <c r="W449" s="203">
        <v>150000</v>
      </c>
      <c r="X449" s="203"/>
      <c r="Y449" s="200">
        <f t="shared" si="101"/>
        <v>288888.88888888899</v>
      </c>
      <c r="Z449" s="207">
        <f t="shared" si="102"/>
        <v>3888888.7777777808</v>
      </c>
      <c r="AA449" s="96"/>
      <c r="AB449" s="96" t="e">
        <f>#REF!-#REF!</f>
        <v>#REF!</v>
      </c>
    </row>
    <row r="450" spans="2:28" s="55" customFormat="1" x14ac:dyDescent="0.3">
      <c r="B450" s="191">
        <v>322</v>
      </c>
      <c r="C450" s="192" t="s">
        <v>725</v>
      </c>
      <c r="D450" s="192"/>
      <c r="E450" s="208">
        <v>45762</v>
      </c>
      <c r="F450" s="192" t="s">
        <v>726</v>
      </c>
      <c r="G450" s="209" t="s">
        <v>727</v>
      </c>
      <c r="H450" s="194">
        <v>4300000</v>
      </c>
      <c r="I450" s="224"/>
      <c r="J450" s="225">
        <f t="shared" si="98"/>
        <v>7.9999925581395148</v>
      </c>
      <c r="K450" s="268">
        <v>36</v>
      </c>
      <c r="L450" s="198">
        <f t="shared" si="97"/>
        <v>0.22222201550387541</v>
      </c>
      <c r="M450" s="194">
        <v>3583333.7777777798</v>
      </c>
      <c r="N450" s="199">
        <f t="shared" si="100"/>
        <v>119444.44444444444</v>
      </c>
      <c r="O450" s="200">
        <f t="shared" si="103"/>
        <v>129000</v>
      </c>
      <c r="P450" s="200"/>
      <c r="Q450" s="200">
        <f t="shared" si="99"/>
        <v>248444.44444444444</v>
      </c>
      <c r="R450" s="201">
        <f>'[1]NOV''25'!Q458+N450-V450</f>
        <v>0.44444444443797693</v>
      </c>
      <c r="S450" s="201">
        <f>'[1]NOV''25'!R458+O450-W450</f>
        <v>0</v>
      </c>
      <c r="T450" s="201">
        <f>'[1]NOV''25'!S458+P450-X450</f>
        <v>0</v>
      </c>
      <c r="U450" s="200">
        <f t="shared" si="96"/>
        <v>0.44444444443797693</v>
      </c>
      <c r="V450" s="202">
        <f>119444.444444444+119444</f>
        <v>238888.444444444</v>
      </c>
      <c r="W450" s="203">
        <f>129000+129000</f>
        <v>258000</v>
      </c>
      <c r="X450" s="203"/>
      <c r="Y450" s="200">
        <f t="shared" si="101"/>
        <v>496888.44444444403</v>
      </c>
      <c r="Z450" s="207">
        <f t="shared" si="102"/>
        <v>3344445.3333333358</v>
      </c>
      <c r="AA450" s="96"/>
      <c r="AB450" s="96" t="e">
        <f>#REF!-#REF!</f>
        <v>#REF!</v>
      </c>
    </row>
    <row r="451" spans="2:28" s="55" customFormat="1" x14ac:dyDescent="0.3">
      <c r="B451" s="191">
        <v>323</v>
      </c>
      <c r="C451" s="205" t="s">
        <v>728</v>
      </c>
      <c r="D451" s="192"/>
      <c r="E451" s="208">
        <v>45770</v>
      </c>
      <c r="F451" s="192" t="s">
        <v>729</v>
      </c>
      <c r="G451" s="209" t="s">
        <v>669</v>
      </c>
      <c r="H451" s="194">
        <v>10500000</v>
      </c>
      <c r="I451" s="224"/>
      <c r="J451" s="225">
        <f t="shared" si="98"/>
        <v>8.000001142857144</v>
      </c>
      <c r="K451" s="268">
        <v>36</v>
      </c>
      <c r="L451" s="198">
        <f t="shared" si="97"/>
        <v>0.22222225396825401</v>
      </c>
      <c r="M451" s="194">
        <v>8458333</v>
      </c>
      <c r="N451" s="199">
        <f t="shared" si="100"/>
        <v>291666.66666666669</v>
      </c>
      <c r="O451" s="200">
        <f t="shared" si="103"/>
        <v>315000</v>
      </c>
      <c r="P451" s="200"/>
      <c r="Q451" s="200">
        <f t="shared" si="99"/>
        <v>606666.66666666674</v>
      </c>
      <c r="R451" s="201">
        <f>'[1]NOV''25'!Q459+N451-V451</f>
        <v>0</v>
      </c>
      <c r="S451" s="201">
        <f>'[1]NOV''25'!R459+O451-W451</f>
        <v>0</v>
      </c>
      <c r="T451" s="201">
        <f>'[1]NOV''25'!S459+P451-X451</f>
        <v>0</v>
      </c>
      <c r="U451" s="200">
        <f t="shared" si="96"/>
        <v>0</v>
      </c>
      <c r="V451" s="202">
        <v>291666.66666666698</v>
      </c>
      <c r="W451" s="203">
        <v>315000</v>
      </c>
      <c r="X451" s="203"/>
      <c r="Y451" s="200">
        <f t="shared" si="101"/>
        <v>606666.66666666698</v>
      </c>
      <c r="Z451" s="207">
        <f t="shared" si="102"/>
        <v>8166666.333333333</v>
      </c>
      <c r="AA451" s="96"/>
      <c r="AB451" s="96" t="e">
        <f>#REF!-#REF!</f>
        <v>#REF!</v>
      </c>
    </row>
    <row r="452" spans="2:28" s="55" customFormat="1" x14ac:dyDescent="0.3">
      <c r="B452" s="191">
        <v>324</v>
      </c>
      <c r="C452" s="205" t="s">
        <v>730</v>
      </c>
      <c r="D452" s="192"/>
      <c r="E452" s="208">
        <v>45772</v>
      </c>
      <c r="F452" s="192" t="s">
        <v>731</v>
      </c>
      <c r="G452" s="209" t="s">
        <v>732</v>
      </c>
      <c r="H452" s="194">
        <v>4000000</v>
      </c>
      <c r="I452" s="224"/>
      <c r="J452" s="225">
        <f t="shared" si="98"/>
        <v>7.9999990000000274</v>
      </c>
      <c r="K452" s="268">
        <v>36</v>
      </c>
      <c r="L452" s="198">
        <f t="shared" si="97"/>
        <v>0.22222219444444521</v>
      </c>
      <c r="M452" s="194">
        <v>3222222.3333333302</v>
      </c>
      <c r="N452" s="199">
        <f t="shared" si="100"/>
        <v>111111.11111111111</v>
      </c>
      <c r="O452" s="200">
        <f t="shared" si="103"/>
        <v>120000</v>
      </c>
      <c r="P452" s="200"/>
      <c r="Q452" s="200">
        <f t="shared" si="99"/>
        <v>231111.11111111112</v>
      </c>
      <c r="R452" s="201">
        <f>'[1]NOV''25'!Q460+N452-V452</f>
        <v>1.1641532182693481E-10</v>
      </c>
      <c r="S452" s="201">
        <f>'[1]NOV''25'!R460+O452-W452</f>
        <v>0</v>
      </c>
      <c r="T452" s="201">
        <f>'[1]NOV''25'!S460+P452-X452</f>
        <v>0</v>
      </c>
      <c r="U452" s="200">
        <f t="shared" si="96"/>
        <v>1.1641532182693481E-10</v>
      </c>
      <c r="V452" s="202">
        <v>111111.11111111099</v>
      </c>
      <c r="W452" s="203">
        <v>120000</v>
      </c>
      <c r="X452" s="203"/>
      <c r="Y452" s="200">
        <f t="shared" si="101"/>
        <v>231111.11111111101</v>
      </c>
      <c r="Z452" s="207">
        <f t="shared" si="102"/>
        <v>3111111.2222222192</v>
      </c>
      <c r="AA452" s="96"/>
      <c r="AB452" s="96" t="e">
        <f>#REF!-#REF!</f>
        <v>#REF!</v>
      </c>
    </row>
    <row r="453" spans="2:28" s="55" customFormat="1" x14ac:dyDescent="0.3">
      <c r="B453" s="191">
        <v>325</v>
      </c>
      <c r="C453" s="205" t="s">
        <v>733</v>
      </c>
      <c r="D453" s="192"/>
      <c r="E453" s="208">
        <v>45776</v>
      </c>
      <c r="F453" s="192" t="s">
        <v>734</v>
      </c>
      <c r="G453" s="209" t="s">
        <v>669</v>
      </c>
      <c r="H453" s="194">
        <v>5000000</v>
      </c>
      <c r="I453" s="224"/>
      <c r="J453" s="225">
        <f t="shared" si="98"/>
        <v>8.0000007999999792</v>
      </c>
      <c r="K453" s="268">
        <v>36</v>
      </c>
      <c r="L453" s="198">
        <f t="shared" si="97"/>
        <v>0.22222224444444386</v>
      </c>
      <c r="M453" s="194">
        <v>4027777.6666666698</v>
      </c>
      <c r="N453" s="199">
        <f t="shared" si="100"/>
        <v>138888.88888888888</v>
      </c>
      <c r="O453" s="200">
        <f t="shared" si="103"/>
        <v>150000</v>
      </c>
      <c r="P453" s="200"/>
      <c r="Q453" s="200">
        <f t="shared" si="99"/>
        <v>288888.88888888888</v>
      </c>
      <c r="R453" s="201">
        <f>'[1]NOV''25'!Q461+N453-V453</f>
        <v>0</v>
      </c>
      <c r="S453" s="201">
        <f>'[1]NOV''25'!R461+O453-W453</f>
        <v>0</v>
      </c>
      <c r="T453" s="201">
        <f>'[1]NOV''25'!S461+P453-X453</f>
        <v>0</v>
      </c>
      <c r="U453" s="200">
        <f t="shared" si="96"/>
        <v>0</v>
      </c>
      <c r="V453" s="202">
        <v>138888.88888888899</v>
      </c>
      <c r="W453" s="203">
        <v>150000</v>
      </c>
      <c r="X453" s="203"/>
      <c r="Y453" s="200">
        <f t="shared" si="101"/>
        <v>288888.88888888899</v>
      </c>
      <c r="Z453" s="207">
        <f t="shared" si="102"/>
        <v>3888888.7777777808</v>
      </c>
      <c r="AA453" s="96"/>
      <c r="AB453" s="96" t="e">
        <f>#REF!-#REF!</f>
        <v>#REF!</v>
      </c>
    </row>
    <row r="454" spans="2:28" s="55" customFormat="1" x14ac:dyDescent="0.3">
      <c r="B454" s="191">
        <v>326</v>
      </c>
      <c r="C454" s="205" t="s">
        <v>735</v>
      </c>
      <c r="D454" s="192"/>
      <c r="E454" s="208">
        <v>45782</v>
      </c>
      <c r="F454" s="192" t="s">
        <v>736</v>
      </c>
      <c r="G454" s="209" t="s">
        <v>737</v>
      </c>
      <c r="H454" s="194">
        <v>8430000</v>
      </c>
      <c r="I454" s="224"/>
      <c r="J454" s="225">
        <f t="shared" si="98"/>
        <v>7.0000000000000018</v>
      </c>
      <c r="K454" s="268">
        <v>36</v>
      </c>
      <c r="L454" s="198">
        <f t="shared" si="97"/>
        <v>0.1944444444444445</v>
      </c>
      <c r="M454" s="194">
        <v>7025000</v>
      </c>
      <c r="N454" s="199">
        <f t="shared" si="100"/>
        <v>234166.66666666666</v>
      </c>
      <c r="O454" s="200">
        <f t="shared" si="103"/>
        <v>252900</v>
      </c>
      <c r="P454" s="200"/>
      <c r="Q454" s="200">
        <f t="shared" si="99"/>
        <v>487066.66666666663</v>
      </c>
      <c r="R454" s="201">
        <f>'[1]NOV''25'!Q462+N454-V454</f>
        <v>-3.4924596548080444E-10</v>
      </c>
      <c r="S454" s="201">
        <f>'[1]NOV''25'!R462+O454-W454</f>
        <v>0</v>
      </c>
      <c r="T454" s="201">
        <f>'[1]NOV''25'!S462+P454-X454</f>
        <v>0</v>
      </c>
      <c r="U454" s="200">
        <f t="shared" si="96"/>
        <v>-3.4924596548080444E-10</v>
      </c>
      <c r="V454" s="202">
        <v>234166.66666666701</v>
      </c>
      <c r="W454" s="203">
        <v>252900</v>
      </c>
      <c r="X454" s="203"/>
      <c r="Y454" s="200">
        <f t="shared" si="101"/>
        <v>487066.66666666698</v>
      </c>
      <c r="Z454" s="207">
        <f t="shared" si="102"/>
        <v>6790833.333333333</v>
      </c>
      <c r="AA454" s="96"/>
      <c r="AB454" s="96" t="e">
        <f>#REF!-#REF!</f>
        <v>#REF!</v>
      </c>
    </row>
    <row r="455" spans="2:28" s="55" customFormat="1" x14ac:dyDescent="0.3">
      <c r="B455" s="191">
        <v>327</v>
      </c>
      <c r="C455" s="205" t="s">
        <v>738</v>
      </c>
      <c r="D455" s="192"/>
      <c r="E455" s="208">
        <v>45782</v>
      </c>
      <c r="F455" s="192" t="s">
        <v>739</v>
      </c>
      <c r="G455" s="209" t="s">
        <v>669</v>
      </c>
      <c r="H455" s="194">
        <v>7500000</v>
      </c>
      <c r="I455" s="224"/>
      <c r="J455" s="225">
        <f t="shared" si="98"/>
        <v>6.9999999999999982</v>
      </c>
      <c r="K455" s="268">
        <v>36</v>
      </c>
      <c r="L455" s="198">
        <f t="shared" si="97"/>
        <v>0.19444444444444439</v>
      </c>
      <c r="M455" s="194">
        <v>6250000</v>
      </c>
      <c r="N455" s="199">
        <f t="shared" si="100"/>
        <v>208333.33333333334</v>
      </c>
      <c r="O455" s="200">
        <f t="shared" si="103"/>
        <v>225000</v>
      </c>
      <c r="P455" s="200"/>
      <c r="Q455" s="200">
        <f t="shared" si="99"/>
        <v>433333.33333333337</v>
      </c>
      <c r="R455" s="201">
        <f>'[1]NOV''25'!Q463+N455-V455</f>
        <v>3.4924596548080444E-10</v>
      </c>
      <c r="S455" s="201">
        <f>'[1]NOV''25'!R463+O455-W455</f>
        <v>0</v>
      </c>
      <c r="T455" s="201">
        <f>'[1]NOV''25'!S463+P455-X455</f>
        <v>0</v>
      </c>
      <c r="U455" s="200">
        <f t="shared" ref="U455:U518" si="104">+R455+S455+T455</f>
        <v>3.4924596548080444E-10</v>
      </c>
      <c r="V455" s="202">
        <v>208333.33333333299</v>
      </c>
      <c r="W455" s="203">
        <v>225000</v>
      </c>
      <c r="X455" s="203"/>
      <c r="Y455" s="200">
        <f t="shared" si="101"/>
        <v>433333.33333333302</v>
      </c>
      <c r="Z455" s="207">
        <f t="shared" si="102"/>
        <v>6041666.666666667</v>
      </c>
      <c r="AA455" s="96"/>
      <c r="AB455" s="96" t="e">
        <f>#REF!-#REF!</f>
        <v>#REF!</v>
      </c>
    </row>
    <row r="456" spans="2:28" s="55" customFormat="1" x14ac:dyDescent="0.3">
      <c r="B456" s="191">
        <v>329</v>
      </c>
      <c r="C456" s="205" t="s">
        <v>740</v>
      </c>
      <c r="D456" s="192"/>
      <c r="E456" s="208">
        <v>45783</v>
      </c>
      <c r="F456" s="192" t="s">
        <v>166</v>
      </c>
      <c r="G456" s="209" t="s">
        <v>741</v>
      </c>
      <c r="H456" s="194">
        <v>5470000</v>
      </c>
      <c r="I456" s="224"/>
      <c r="J456" s="225">
        <f t="shared" si="98"/>
        <v>6.9999999999999565</v>
      </c>
      <c r="K456" s="268">
        <v>36</v>
      </c>
      <c r="L456" s="198">
        <f t="shared" si="97"/>
        <v>0.19444444444444323</v>
      </c>
      <c r="M456" s="194">
        <v>4558333.3333333395</v>
      </c>
      <c r="N456" s="199">
        <f t="shared" si="100"/>
        <v>151944.44444444444</v>
      </c>
      <c r="O456" s="200">
        <f t="shared" si="103"/>
        <v>164100</v>
      </c>
      <c r="P456" s="200"/>
      <c r="Q456" s="200">
        <f t="shared" si="99"/>
        <v>316044.44444444444</v>
      </c>
      <c r="R456" s="201">
        <f>'[1]NOV''25'!Q465+N456-V456</f>
        <v>4.3655745685100555E-10</v>
      </c>
      <c r="S456" s="201">
        <f>'[1]NOV''25'!R465+O456-W456</f>
        <v>0</v>
      </c>
      <c r="T456" s="201">
        <f>'[1]NOV''25'!S465+P456-X456</f>
        <v>0</v>
      </c>
      <c r="U456" s="200">
        <f t="shared" si="104"/>
        <v>4.3655745685100555E-10</v>
      </c>
      <c r="V456" s="202">
        <v>151944.444444444</v>
      </c>
      <c r="W456" s="203">
        <v>164100</v>
      </c>
      <c r="X456" s="203"/>
      <c r="Y456" s="200">
        <f t="shared" si="101"/>
        <v>316044.44444444403</v>
      </c>
      <c r="Z456" s="207">
        <f t="shared" si="102"/>
        <v>4406388.8888888955</v>
      </c>
      <c r="AA456" s="96"/>
      <c r="AB456" s="96" t="e">
        <f>#REF!-#REF!</f>
        <v>#REF!</v>
      </c>
    </row>
    <row r="457" spans="2:28" s="55" customFormat="1" x14ac:dyDescent="0.3">
      <c r="B457" s="191">
        <v>330</v>
      </c>
      <c r="C457" s="205" t="s">
        <v>742</v>
      </c>
      <c r="D457" s="192"/>
      <c r="E457" s="208">
        <v>45783</v>
      </c>
      <c r="F457" s="192" t="s">
        <v>743</v>
      </c>
      <c r="G457" s="209" t="s">
        <v>303</v>
      </c>
      <c r="H457" s="194">
        <v>9900000</v>
      </c>
      <c r="I457" s="224"/>
      <c r="J457" s="225">
        <f t="shared" si="98"/>
        <v>7</v>
      </c>
      <c r="K457" s="268">
        <v>36</v>
      </c>
      <c r="L457" s="198">
        <f t="shared" si="97"/>
        <v>0.19444444444444445</v>
      </c>
      <c r="M457" s="194">
        <v>8250000</v>
      </c>
      <c r="N457" s="199">
        <f t="shared" si="100"/>
        <v>275000</v>
      </c>
      <c r="O457" s="200">
        <f t="shared" si="103"/>
        <v>297000</v>
      </c>
      <c r="P457" s="200"/>
      <c r="Q457" s="200">
        <f t="shared" si="99"/>
        <v>572000</v>
      </c>
      <c r="R457" s="201">
        <f>'[1]NOV''25'!Q466+N457-V457</f>
        <v>0</v>
      </c>
      <c r="S457" s="201">
        <f>'[1]NOV''25'!R466+O457-W457</f>
        <v>0</v>
      </c>
      <c r="T457" s="201">
        <f>'[1]NOV''25'!S466+P457-X457</f>
        <v>0</v>
      </c>
      <c r="U457" s="200">
        <f t="shared" si="104"/>
        <v>0</v>
      </c>
      <c r="V457" s="202">
        <v>275000</v>
      </c>
      <c r="W457" s="203">
        <v>297000</v>
      </c>
      <c r="X457" s="203"/>
      <c r="Y457" s="200">
        <f t="shared" si="101"/>
        <v>572000</v>
      </c>
      <c r="Z457" s="207">
        <f t="shared" si="102"/>
        <v>7975000</v>
      </c>
      <c r="AA457" s="96"/>
      <c r="AB457" s="96" t="e">
        <f>#REF!-#REF!</f>
        <v>#REF!</v>
      </c>
    </row>
    <row r="458" spans="2:28" s="55" customFormat="1" x14ac:dyDescent="0.3">
      <c r="B458" s="191">
        <v>331</v>
      </c>
      <c r="C458" s="205" t="s">
        <v>68</v>
      </c>
      <c r="D458" s="192"/>
      <c r="E458" s="208">
        <v>45785</v>
      </c>
      <c r="F458" s="192" t="s">
        <v>69</v>
      </c>
      <c r="G458" s="209" t="s">
        <v>741</v>
      </c>
      <c r="H458" s="194">
        <v>3000000</v>
      </c>
      <c r="I458" s="224"/>
      <c r="J458" s="225">
        <f t="shared" si="98"/>
        <v>7</v>
      </c>
      <c r="K458" s="213">
        <v>12</v>
      </c>
      <c r="L458" s="198">
        <f t="shared" si="97"/>
        <v>0.58333333333333337</v>
      </c>
      <c r="M458" s="194">
        <v>1500000</v>
      </c>
      <c r="N458" s="199">
        <f t="shared" si="100"/>
        <v>250000</v>
      </c>
      <c r="O458" s="200">
        <f t="shared" si="103"/>
        <v>90000</v>
      </c>
      <c r="P458" s="200"/>
      <c r="Q458" s="200">
        <f t="shared" si="99"/>
        <v>340000</v>
      </c>
      <c r="R458" s="201">
        <f>'[1]NOV''25'!Q467+N458-V458</f>
        <v>0</v>
      </c>
      <c r="S458" s="201">
        <f>'[1]NOV''25'!R467+O458-W458</f>
        <v>0</v>
      </c>
      <c r="T458" s="201">
        <f>'[1]NOV''25'!S467+P458-X458</f>
        <v>0</v>
      </c>
      <c r="U458" s="200">
        <f t="shared" si="104"/>
        <v>0</v>
      </c>
      <c r="V458" s="202">
        <v>250000</v>
      </c>
      <c r="W458" s="203">
        <v>90000</v>
      </c>
      <c r="X458" s="203"/>
      <c r="Y458" s="200">
        <f t="shared" si="101"/>
        <v>340000</v>
      </c>
      <c r="Z458" s="207">
        <f t="shared" si="102"/>
        <v>1250000</v>
      </c>
      <c r="AA458" s="96"/>
      <c r="AB458" s="96" t="e">
        <f>#REF!-#REF!</f>
        <v>#REF!</v>
      </c>
    </row>
    <row r="459" spans="2:28" s="55" customFormat="1" x14ac:dyDescent="0.3">
      <c r="B459" s="191">
        <v>332</v>
      </c>
      <c r="C459" s="205" t="s">
        <v>744</v>
      </c>
      <c r="D459" s="192"/>
      <c r="E459" s="208">
        <v>45786</v>
      </c>
      <c r="F459" s="192" t="s">
        <v>167</v>
      </c>
      <c r="G459" s="209" t="s">
        <v>298</v>
      </c>
      <c r="H459" s="194">
        <v>6900000</v>
      </c>
      <c r="I459" s="224"/>
      <c r="J459" s="225">
        <f t="shared" si="98"/>
        <v>5</v>
      </c>
      <c r="K459" s="213">
        <v>24</v>
      </c>
      <c r="L459" s="198">
        <f t="shared" si="97"/>
        <v>0.20833333333333334</v>
      </c>
      <c r="M459" s="194">
        <v>5462500</v>
      </c>
      <c r="N459" s="199">
        <f t="shared" si="100"/>
        <v>287500</v>
      </c>
      <c r="O459" s="200">
        <f t="shared" si="103"/>
        <v>207000</v>
      </c>
      <c r="P459" s="200"/>
      <c r="Q459" s="200">
        <f t="shared" si="99"/>
        <v>494500</v>
      </c>
      <c r="R459" s="201">
        <f>'[1]NOV''25'!Q468+N459-V459</f>
        <v>575000</v>
      </c>
      <c r="S459" s="201">
        <f>'[1]NOV''25'!R468+O459-W459</f>
        <v>414000</v>
      </c>
      <c r="T459" s="201">
        <f>'[1]NOV''25'!S468+P459-X459</f>
        <v>0</v>
      </c>
      <c r="U459" s="200">
        <f t="shared" si="104"/>
        <v>989000</v>
      </c>
      <c r="V459" s="202">
        <v>0</v>
      </c>
      <c r="W459" s="203">
        <v>0</v>
      </c>
      <c r="X459" s="203"/>
      <c r="Y459" s="200">
        <f t="shared" si="101"/>
        <v>0</v>
      </c>
      <c r="Z459" s="207">
        <f t="shared" si="102"/>
        <v>5462500</v>
      </c>
      <c r="AA459" s="96" t="s">
        <v>455</v>
      </c>
      <c r="AB459" s="96" t="e">
        <f>#REF!-#REF!</f>
        <v>#REF!</v>
      </c>
    </row>
    <row r="460" spans="2:28" s="55" customFormat="1" x14ac:dyDescent="0.3">
      <c r="B460" s="191">
        <v>333</v>
      </c>
      <c r="C460" s="205" t="s">
        <v>169</v>
      </c>
      <c r="D460" s="192"/>
      <c r="E460" s="208">
        <v>45786</v>
      </c>
      <c r="F460" s="192" t="s">
        <v>745</v>
      </c>
      <c r="G460" s="209" t="s">
        <v>669</v>
      </c>
      <c r="H460" s="194">
        <v>8320000</v>
      </c>
      <c r="I460" s="224"/>
      <c r="J460" s="225">
        <f t="shared" si="98"/>
        <v>7.0000000000000169</v>
      </c>
      <c r="K460" s="268">
        <v>36</v>
      </c>
      <c r="L460" s="198">
        <f t="shared" si="97"/>
        <v>0.19444444444444492</v>
      </c>
      <c r="M460" s="194">
        <v>7164444.4444444403</v>
      </c>
      <c r="N460" s="199">
        <f t="shared" si="100"/>
        <v>231111.11111111112</v>
      </c>
      <c r="O460" s="200">
        <f t="shared" si="103"/>
        <v>249600</v>
      </c>
      <c r="P460" s="200"/>
      <c r="Q460" s="200">
        <f t="shared" si="99"/>
        <v>480711.11111111112</v>
      </c>
      <c r="R460" s="201">
        <f>'[1]NOV''25'!Q469+N460-V460</f>
        <v>0</v>
      </c>
      <c r="S460" s="201">
        <f>'[1]NOV''25'!R469+O460-W460</f>
        <v>0</v>
      </c>
      <c r="T460" s="201">
        <f>'[1]NOV''25'!S469+P460-X460</f>
        <v>0</v>
      </c>
      <c r="U460" s="200">
        <f t="shared" si="104"/>
        <v>0</v>
      </c>
      <c r="V460" s="202">
        <f>231111.111111111+231111.111111111</f>
        <v>462222.22222222202</v>
      </c>
      <c r="W460" s="203">
        <f>249600+249600</f>
        <v>499200</v>
      </c>
      <c r="X460" s="203"/>
      <c r="Y460" s="200">
        <f t="shared" si="101"/>
        <v>961422.22222222202</v>
      </c>
      <c r="Z460" s="207">
        <f t="shared" si="102"/>
        <v>6702222.2222222183</v>
      </c>
      <c r="AA460" s="96"/>
      <c r="AB460" s="96" t="e">
        <f>#REF!-#REF!</f>
        <v>#REF!</v>
      </c>
    </row>
    <row r="461" spans="2:28" s="55" customFormat="1" x14ac:dyDescent="0.3">
      <c r="B461" s="191">
        <v>334</v>
      </c>
      <c r="C461" s="205" t="s">
        <v>746</v>
      </c>
      <c r="D461" s="192"/>
      <c r="E461" s="208">
        <v>45791</v>
      </c>
      <c r="F461" s="192" t="s">
        <v>747</v>
      </c>
      <c r="G461" s="209" t="s">
        <v>748</v>
      </c>
      <c r="H461" s="194">
        <v>4300000</v>
      </c>
      <c r="I461" s="224"/>
      <c r="J461" s="225">
        <f t="shared" si="98"/>
        <v>7.0000000000000231</v>
      </c>
      <c r="K461" s="268">
        <v>36</v>
      </c>
      <c r="L461" s="198">
        <f t="shared" ref="L461:L524" si="105">J461/K461</f>
        <v>0.19444444444444509</v>
      </c>
      <c r="M461" s="194">
        <v>3583333.3333333302</v>
      </c>
      <c r="N461" s="199">
        <f t="shared" si="100"/>
        <v>119444.44444444444</v>
      </c>
      <c r="O461" s="200">
        <f t="shared" si="103"/>
        <v>129000</v>
      </c>
      <c r="P461" s="200"/>
      <c r="Q461" s="200">
        <f t="shared" si="99"/>
        <v>248444.44444444444</v>
      </c>
      <c r="R461" s="201">
        <f>'[1]NOV''25'!Q470+N461-V461</f>
        <v>4.3655745685100555E-10</v>
      </c>
      <c r="S461" s="201">
        <f>'[1]NOV''25'!R470+O461-W461</f>
        <v>0</v>
      </c>
      <c r="T461" s="201">
        <f>'[1]NOV''25'!S470+P461-X461</f>
        <v>0</v>
      </c>
      <c r="U461" s="200">
        <f t="shared" si="104"/>
        <v>4.3655745685100555E-10</v>
      </c>
      <c r="V461" s="202">
        <v>119444.444444444</v>
      </c>
      <c r="W461" s="203">
        <v>129000</v>
      </c>
      <c r="X461" s="203"/>
      <c r="Y461" s="200">
        <f t="shared" si="101"/>
        <v>248444.444444444</v>
      </c>
      <c r="Z461" s="207">
        <f t="shared" si="102"/>
        <v>3463888.8888888862</v>
      </c>
      <c r="AA461" s="96"/>
      <c r="AB461" s="96" t="e">
        <f>#REF!-#REF!</f>
        <v>#REF!</v>
      </c>
    </row>
    <row r="462" spans="2:28" s="55" customFormat="1" x14ac:dyDescent="0.3">
      <c r="B462" s="191">
        <v>335</v>
      </c>
      <c r="C462" s="205" t="s">
        <v>749</v>
      </c>
      <c r="D462" s="192"/>
      <c r="E462" s="208">
        <v>45797</v>
      </c>
      <c r="F462" s="192" t="s">
        <v>750</v>
      </c>
      <c r="G462" s="209" t="s">
        <v>727</v>
      </c>
      <c r="H462" s="194">
        <v>4300000</v>
      </c>
      <c r="I462" s="224"/>
      <c r="J462" s="225">
        <f t="shared" si="98"/>
        <v>7.0000000000000231</v>
      </c>
      <c r="K462" s="268">
        <v>36</v>
      </c>
      <c r="L462" s="198">
        <f t="shared" si="105"/>
        <v>0.19444444444444509</v>
      </c>
      <c r="M462" s="194">
        <v>3583333.3333333302</v>
      </c>
      <c r="N462" s="199">
        <f t="shared" si="100"/>
        <v>119444.44444444444</v>
      </c>
      <c r="O462" s="200">
        <f t="shared" si="103"/>
        <v>129000</v>
      </c>
      <c r="P462" s="200"/>
      <c r="Q462" s="200">
        <f t="shared" si="99"/>
        <v>248444.44444444444</v>
      </c>
      <c r="R462" s="201">
        <f>'[1]NOV''25'!Q471+N462-V462</f>
        <v>4.3655745685100555E-10</v>
      </c>
      <c r="S462" s="201">
        <f>'[1]NOV''25'!R471+O462-W462</f>
        <v>0</v>
      </c>
      <c r="T462" s="201">
        <f>'[1]NOV''25'!S471+P462-X462</f>
        <v>0</v>
      </c>
      <c r="U462" s="200">
        <f t="shared" si="104"/>
        <v>4.3655745685100555E-10</v>
      </c>
      <c r="V462" s="202">
        <v>119444.444444444</v>
      </c>
      <c r="W462" s="203">
        <v>129000</v>
      </c>
      <c r="X462" s="203"/>
      <c r="Y462" s="200">
        <f t="shared" si="101"/>
        <v>248444.444444444</v>
      </c>
      <c r="Z462" s="207">
        <f t="shared" si="102"/>
        <v>3463888.8888888862</v>
      </c>
      <c r="AA462" s="96"/>
      <c r="AB462" s="96" t="e">
        <f>#REF!-#REF!</f>
        <v>#REF!</v>
      </c>
    </row>
    <row r="463" spans="2:28" s="55" customFormat="1" x14ac:dyDescent="0.3">
      <c r="B463" s="191">
        <v>336</v>
      </c>
      <c r="C463" s="205" t="s">
        <v>751</v>
      </c>
      <c r="D463" s="192"/>
      <c r="E463" s="208">
        <v>45797</v>
      </c>
      <c r="F463" s="192" t="s">
        <v>752</v>
      </c>
      <c r="G463" s="209" t="s">
        <v>727</v>
      </c>
      <c r="H463" s="194">
        <v>5000000</v>
      </c>
      <c r="I463" s="224"/>
      <c r="J463" s="225">
        <f t="shared" si="98"/>
        <v>6.9999999999999787</v>
      </c>
      <c r="K463" s="268">
        <v>36</v>
      </c>
      <c r="L463" s="198">
        <f t="shared" si="105"/>
        <v>0.19444444444444386</v>
      </c>
      <c r="M463" s="194">
        <v>4166666.6666666698</v>
      </c>
      <c r="N463" s="199">
        <f t="shared" si="100"/>
        <v>138888.88888888888</v>
      </c>
      <c r="O463" s="200">
        <f t="shared" si="103"/>
        <v>150000</v>
      </c>
      <c r="P463" s="200"/>
      <c r="Q463" s="200">
        <f t="shared" si="99"/>
        <v>288888.88888888888</v>
      </c>
      <c r="R463" s="201">
        <f>'[1]NOV''25'!Q472+N463-V463</f>
        <v>0</v>
      </c>
      <c r="S463" s="201">
        <f>'[1]NOV''25'!R472+O463-W463</f>
        <v>0</v>
      </c>
      <c r="T463" s="201">
        <f>'[1]NOV''25'!S472+P463-X463</f>
        <v>0</v>
      </c>
      <c r="U463" s="200">
        <f t="shared" si="104"/>
        <v>0</v>
      </c>
      <c r="V463" s="202">
        <v>138888.88888888899</v>
      </c>
      <c r="W463" s="203">
        <v>150000</v>
      </c>
      <c r="X463" s="203"/>
      <c r="Y463" s="200">
        <f t="shared" si="101"/>
        <v>288888.88888888899</v>
      </c>
      <c r="Z463" s="207">
        <f t="shared" ref="Z463:Z487" si="106">SUM(M463-V463)</f>
        <v>4027777.7777777808</v>
      </c>
      <c r="AA463" s="96"/>
      <c r="AB463" s="96" t="e">
        <f>#REF!-#REF!</f>
        <v>#REF!</v>
      </c>
    </row>
    <row r="464" spans="2:28" s="55" customFormat="1" x14ac:dyDescent="0.3">
      <c r="B464" s="191">
        <v>337</v>
      </c>
      <c r="C464" s="205" t="s">
        <v>753</v>
      </c>
      <c r="D464" s="192"/>
      <c r="E464" s="208">
        <v>45798</v>
      </c>
      <c r="F464" s="192" t="s">
        <v>754</v>
      </c>
      <c r="G464" s="209" t="s">
        <v>755</v>
      </c>
      <c r="H464" s="194">
        <v>4220000</v>
      </c>
      <c r="I464" s="224"/>
      <c r="J464" s="225">
        <f t="shared" si="98"/>
        <v>6.9999999999999716</v>
      </c>
      <c r="K464" s="268">
        <v>36</v>
      </c>
      <c r="L464" s="198">
        <f t="shared" si="105"/>
        <v>0.19444444444444364</v>
      </c>
      <c r="M464" s="194">
        <v>3516666.6666666698</v>
      </c>
      <c r="N464" s="199">
        <f t="shared" si="100"/>
        <v>117222.22222222222</v>
      </c>
      <c r="O464" s="200">
        <f t="shared" si="103"/>
        <v>126600</v>
      </c>
      <c r="P464" s="200"/>
      <c r="Q464" s="200">
        <f t="shared" si="99"/>
        <v>243822.22222222222</v>
      </c>
      <c r="R464" s="201">
        <f>'[1]NOV''25'!Q473+N464-V464</f>
        <v>2.1827872842550278E-10</v>
      </c>
      <c r="S464" s="201">
        <f>'[1]NOV''25'!R473+O464-W464</f>
        <v>0</v>
      </c>
      <c r="T464" s="201">
        <f>'[1]NOV''25'!S473+P464-X464</f>
        <v>0</v>
      </c>
      <c r="U464" s="200">
        <f t="shared" si="104"/>
        <v>2.1827872842550278E-10</v>
      </c>
      <c r="V464" s="202">
        <v>117222.222222222</v>
      </c>
      <c r="W464" s="203">
        <v>126600</v>
      </c>
      <c r="X464" s="203"/>
      <c r="Y464" s="200">
        <f t="shared" si="101"/>
        <v>243822.22222222202</v>
      </c>
      <c r="Z464" s="207">
        <f t="shared" si="106"/>
        <v>3399444.4444444478</v>
      </c>
      <c r="AA464" s="96"/>
      <c r="AB464" s="96" t="e">
        <f>#REF!-#REF!</f>
        <v>#REF!</v>
      </c>
    </row>
    <row r="465" spans="1:28" s="55" customFormat="1" x14ac:dyDescent="0.3">
      <c r="B465" s="191">
        <v>338</v>
      </c>
      <c r="C465" s="205" t="s">
        <v>756</v>
      </c>
      <c r="D465" s="192"/>
      <c r="E465" s="208">
        <v>45799</v>
      </c>
      <c r="F465" s="192" t="s">
        <v>757</v>
      </c>
      <c r="G465" s="209" t="s">
        <v>758</v>
      </c>
      <c r="H465" s="194">
        <v>9120000</v>
      </c>
      <c r="I465" s="224"/>
      <c r="J465" s="225">
        <f t="shared" si="98"/>
        <v>5.0000000000000124</v>
      </c>
      <c r="K465" s="268">
        <v>36</v>
      </c>
      <c r="L465" s="198">
        <f t="shared" si="105"/>
        <v>0.13888888888888923</v>
      </c>
      <c r="M465" s="194">
        <v>7853333.3333333302</v>
      </c>
      <c r="N465" s="199">
        <f t="shared" si="100"/>
        <v>253333.33333333334</v>
      </c>
      <c r="O465" s="200">
        <f t="shared" si="103"/>
        <v>273600</v>
      </c>
      <c r="P465" s="200"/>
      <c r="Q465" s="200">
        <f t="shared" si="99"/>
        <v>526933.33333333337</v>
      </c>
      <c r="R465" s="201">
        <f>'[1]NOV''25'!Q474+N465-V465</f>
        <v>506666.66666666634</v>
      </c>
      <c r="S465" s="201">
        <f>'[1]NOV''25'!R474+O465-W465</f>
        <v>547200</v>
      </c>
      <c r="T465" s="201">
        <f>'[1]NOV''25'!S474+P465-X465</f>
        <v>0</v>
      </c>
      <c r="U465" s="200">
        <f t="shared" si="104"/>
        <v>1053866.6666666663</v>
      </c>
      <c r="V465" s="202">
        <v>0</v>
      </c>
      <c r="W465" s="203">
        <v>0</v>
      </c>
      <c r="X465" s="203"/>
      <c r="Y465" s="200">
        <f t="shared" si="101"/>
        <v>0</v>
      </c>
      <c r="Z465" s="207">
        <f t="shared" si="106"/>
        <v>7853333.3333333302</v>
      </c>
      <c r="AA465" s="96" t="s">
        <v>455</v>
      </c>
      <c r="AB465" s="96" t="e">
        <f>#REF!-#REF!</f>
        <v>#REF!</v>
      </c>
    </row>
    <row r="466" spans="1:28" s="55" customFormat="1" x14ac:dyDescent="0.3">
      <c r="B466" s="191">
        <v>339</v>
      </c>
      <c r="C466" s="205" t="s">
        <v>759</v>
      </c>
      <c r="D466" s="192"/>
      <c r="E466" s="208">
        <v>45804</v>
      </c>
      <c r="F466" s="192" t="s">
        <v>760</v>
      </c>
      <c r="G466" s="209" t="s">
        <v>669</v>
      </c>
      <c r="H466" s="194">
        <v>18000000</v>
      </c>
      <c r="I466" s="224"/>
      <c r="J466" s="225">
        <f t="shared" si="98"/>
        <v>7</v>
      </c>
      <c r="K466" s="268">
        <v>36</v>
      </c>
      <c r="L466" s="198">
        <f t="shared" si="105"/>
        <v>0.19444444444444445</v>
      </c>
      <c r="M466" s="194">
        <v>15000000</v>
      </c>
      <c r="N466" s="199">
        <f t="shared" si="100"/>
        <v>500000</v>
      </c>
      <c r="O466" s="200">
        <f t="shared" si="103"/>
        <v>540000</v>
      </c>
      <c r="P466" s="200"/>
      <c r="Q466" s="200">
        <f t="shared" si="99"/>
        <v>1040000</v>
      </c>
      <c r="R466" s="201">
        <f>'[1]NOV''25'!Q475+N466-V466</f>
        <v>0</v>
      </c>
      <c r="S466" s="201">
        <f>'[1]NOV''25'!R475+O466-W466</f>
        <v>0</v>
      </c>
      <c r="T466" s="201">
        <f>'[1]NOV''25'!S475+P466-X466</f>
        <v>0</v>
      </c>
      <c r="U466" s="200">
        <f t="shared" si="104"/>
        <v>0</v>
      </c>
      <c r="V466" s="202">
        <v>500000</v>
      </c>
      <c r="W466" s="203">
        <v>540000</v>
      </c>
      <c r="X466" s="203"/>
      <c r="Y466" s="200">
        <f t="shared" si="101"/>
        <v>1040000</v>
      </c>
      <c r="Z466" s="207">
        <f t="shared" si="106"/>
        <v>14500000</v>
      </c>
      <c r="AA466" s="96"/>
      <c r="AB466" s="96" t="e">
        <f>#REF!-#REF!</f>
        <v>#REF!</v>
      </c>
    </row>
    <row r="467" spans="1:28" s="55" customFormat="1" x14ac:dyDescent="0.3">
      <c r="B467" s="191">
        <v>340</v>
      </c>
      <c r="C467" s="205" t="s">
        <v>761</v>
      </c>
      <c r="D467" s="192"/>
      <c r="E467" s="208">
        <v>45812</v>
      </c>
      <c r="F467" s="192" t="s">
        <v>172</v>
      </c>
      <c r="G467" s="209" t="s">
        <v>741</v>
      </c>
      <c r="H467" s="194">
        <v>6000000</v>
      </c>
      <c r="I467" s="224"/>
      <c r="J467" s="225">
        <f t="shared" ref="J467:J530" si="107">(H467-Z467)/N467</f>
        <v>6</v>
      </c>
      <c r="K467" s="213">
        <v>24</v>
      </c>
      <c r="L467" s="198">
        <f t="shared" si="105"/>
        <v>0.25</v>
      </c>
      <c r="M467" s="194">
        <v>4750000</v>
      </c>
      <c r="N467" s="199">
        <f t="shared" si="100"/>
        <v>250000</v>
      </c>
      <c r="O467" s="200">
        <f t="shared" si="103"/>
        <v>180000</v>
      </c>
      <c r="P467" s="200"/>
      <c r="Q467" s="200">
        <f t="shared" ref="Q467:Q478" si="108">+N467+O467</f>
        <v>430000</v>
      </c>
      <c r="R467" s="201">
        <f>'[1]NOV''25'!Q476+N467-V467</f>
        <v>0</v>
      </c>
      <c r="S467" s="201">
        <f>'[1]NOV''25'!R476+O467-W467</f>
        <v>0</v>
      </c>
      <c r="T467" s="201">
        <f>'[1]NOV''25'!S476+P467-X467</f>
        <v>0</v>
      </c>
      <c r="U467" s="200">
        <f t="shared" si="104"/>
        <v>0</v>
      </c>
      <c r="V467" s="202">
        <v>250000</v>
      </c>
      <c r="W467" s="203">
        <v>180000</v>
      </c>
      <c r="X467" s="203"/>
      <c r="Y467" s="200">
        <f t="shared" si="101"/>
        <v>430000</v>
      </c>
      <c r="Z467" s="207">
        <f t="shared" si="106"/>
        <v>4500000</v>
      </c>
      <c r="AA467" s="96"/>
      <c r="AB467" s="96" t="e">
        <f>#REF!-#REF!</f>
        <v>#REF!</v>
      </c>
    </row>
    <row r="468" spans="1:28" s="55" customFormat="1" x14ac:dyDescent="0.3">
      <c r="B468" s="191">
        <v>341</v>
      </c>
      <c r="C468" s="205" t="s">
        <v>762</v>
      </c>
      <c r="D468" s="192"/>
      <c r="E468" s="208">
        <v>45812</v>
      </c>
      <c r="F468" s="192" t="s">
        <v>181</v>
      </c>
      <c r="G468" s="209" t="s">
        <v>242</v>
      </c>
      <c r="H468" s="194">
        <v>22970000</v>
      </c>
      <c r="I468" s="224"/>
      <c r="J468" s="225">
        <f t="shared" si="107"/>
        <v>6.0000000000000338</v>
      </c>
      <c r="K468" s="268">
        <v>36</v>
      </c>
      <c r="L468" s="198">
        <f t="shared" si="105"/>
        <v>0.1666666666666676</v>
      </c>
      <c r="M468" s="194">
        <v>19779722.222222202</v>
      </c>
      <c r="N468" s="199">
        <f t="shared" ref="N468:N531" si="109">SUM(H468/K468)</f>
        <v>638055.5555555555</v>
      </c>
      <c r="O468" s="200">
        <f t="shared" si="103"/>
        <v>689100</v>
      </c>
      <c r="P468" s="200"/>
      <c r="Q468" s="200">
        <f t="shared" si="108"/>
        <v>1327155.5555555555</v>
      </c>
      <c r="R468" s="201">
        <f>'[1]NOV''25'!Q477+N468-V468</f>
        <v>0</v>
      </c>
      <c r="S468" s="201">
        <f>'[1]NOV''25'!R477+O468-W468</f>
        <v>0</v>
      </c>
      <c r="T468" s="201">
        <f>'[1]NOV''25'!S477+P468-X468</f>
        <v>0</v>
      </c>
      <c r="U468" s="200">
        <f t="shared" si="104"/>
        <v>0</v>
      </c>
      <c r="V468" s="202">
        <v>638055.55555555597</v>
      </c>
      <c r="W468" s="203">
        <v>689100</v>
      </c>
      <c r="X468" s="203"/>
      <c r="Y468" s="200">
        <f t="shared" ref="Y468:Y531" si="110">+V468+W468+X468</f>
        <v>1327155.555555556</v>
      </c>
      <c r="Z468" s="207">
        <f t="shared" si="106"/>
        <v>19141666.666666646</v>
      </c>
      <c r="AA468" s="96"/>
      <c r="AB468" s="96" t="e">
        <f>#REF!-#REF!</f>
        <v>#REF!</v>
      </c>
    </row>
    <row r="469" spans="1:28" s="265" customFormat="1" x14ac:dyDescent="0.3">
      <c r="B469" s="250">
        <v>342</v>
      </c>
      <c r="C469" s="273" t="s">
        <v>763</v>
      </c>
      <c r="D469" s="251"/>
      <c r="E469" s="252">
        <v>45813</v>
      </c>
      <c r="F469" s="251" t="s">
        <v>764</v>
      </c>
      <c r="G469" s="253" t="s">
        <v>242</v>
      </c>
      <c r="H469" s="254">
        <v>5330000</v>
      </c>
      <c r="I469" s="255"/>
      <c r="J469" s="256">
        <f t="shared" si="107"/>
        <v>6.0000000000000169</v>
      </c>
      <c r="K469" s="267">
        <v>36</v>
      </c>
      <c r="L469" s="258">
        <f t="shared" si="105"/>
        <v>0.16666666666666713</v>
      </c>
      <c r="M469" s="254">
        <v>4589722.2222222202</v>
      </c>
      <c r="N469" s="259">
        <f t="shared" si="109"/>
        <v>148055.55555555556</v>
      </c>
      <c r="O469" s="260">
        <f t="shared" si="103"/>
        <v>159900</v>
      </c>
      <c r="P469" s="260"/>
      <c r="Q469" s="260">
        <f t="shared" si="108"/>
        <v>307955.55555555556</v>
      </c>
      <c r="R469" s="274">
        <f>'[1]NOV''25'!Q478+N469-V469</f>
        <v>-4.3655745685100555E-10</v>
      </c>
      <c r="S469" s="274">
        <f>'[1]NOV''25'!R478+O469-W469</f>
        <v>0</v>
      </c>
      <c r="T469" s="274">
        <f>'[1]NOV''25'!S478+P469-X469</f>
        <v>0</v>
      </c>
      <c r="U469" s="260">
        <f t="shared" si="104"/>
        <v>-4.3655745685100555E-10</v>
      </c>
      <c r="V469" s="261">
        <v>148055.555555556</v>
      </c>
      <c r="W469" s="262">
        <v>159900</v>
      </c>
      <c r="X469" s="262"/>
      <c r="Y469" s="260">
        <f t="shared" si="110"/>
        <v>307955.55555555597</v>
      </c>
      <c r="Z469" s="263">
        <f t="shared" si="106"/>
        <v>4441666.6666666642</v>
      </c>
      <c r="AA469" s="272" t="s">
        <v>502</v>
      </c>
      <c r="AB469" s="272" t="e">
        <f>#REF!-#REF!</f>
        <v>#REF!</v>
      </c>
    </row>
    <row r="470" spans="1:28" s="55" customFormat="1" x14ac:dyDescent="0.3">
      <c r="B470" s="191">
        <v>343</v>
      </c>
      <c r="C470" s="205" t="s">
        <v>765</v>
      </c>
      <c r="D470" s="192"/>
      <c r="E470" s="208">
        <v>45813</v>
      </c>
      <c r="F470" s="192" t="s">
        <v>766</v>
      </c>
      <c r="G470" s="209" t="s">
        <v>767</v>
      </c>
      <c r="H470" s="194">
        <v>8750000</v>
      </c>
      <c r="I470" s="224"/>
      <c r="J470" s="225">
        <f t="shared" si="107"/>
        <v>6.0000000000000098</v>
      </c>
      <c r="K470" s="268">
        <v>36</v>
      </c>
      <c r="L470" s="198">
        <f t="shared" si="105"/>
        <v>0.16666666666666693</v>
      </c>
      <c r="M470" s="194">
        <v>7534722.2222222202</v>
      </c>
      <c r="N470" s="199">
        <f t="shared" si="109"/>
        <v>243055.55555555556</v>
      </c>
      <c r="O470" s="200">
        <f t="shared" si="103"/>
        <v>262500</v>
      </c>
      <c r="P470" s="200"/>
      <c r="Q470" s="200">
        <f t="shared" si="108"/>
        <v>505555.55555555556</v>
      </c>
      <c r="R470" s="201">
        <f>'[1]NOV''25'!Q479+N470-V470</f>
        <v>-4.3655745685100555E-10</v>
      </c>
      <c r="S470" s="201">
        <f>'[1]NOV''25'!R479+O470-W470</f>
        <v>0</v>
      </c>
      <c r="T470" s="201">
        <f>'[1]NOV''25'!S479+P470-X470</f>
        <v>0</v>
      </c>
      <c r="U470" s="200">
        <f t="shared" si="104"/>
        <v>-4.3655745685100555E-10</v>
      </c>
      <c r="V470" s="202">
        <v>243055.555555556</v>
      </c>
      <c r="W470" s="203">
        <v>262500</v>
      </c>
      <c r="X470" s="203"/>
      <c r="Y470" s="200">
        <f t="shared" si="110"/>
        <v>505555.55555555597</v>
      </c>
      <c r="Z470" s="207">
        <f t="shared" si="106"/>
        <v>7291666.6666666642</v>
      </c>
      <c r="AA470" s="96"/>
      <c r="AB470" s="96" t="e">
        <f>#REF!-#REF!</f>
        <v>#REF!</v>
      </c>
    </row>
    <row r="471" spans="1:28" s="55" customFormat="1" x14ac:dyDescent="0.3">
      <c r="B471" s="191">
        <v>344</v>
      </c>
      <c r="C471" s="205" t="s">
        <v>768</v>
      </c>
      <c r="D471" s="192"/>
      <c r="E471" s="208">
        <v>45813</v>
      </c>
      <c r="F471" s="192" t="s">
        <v>769</v>
      </c>
      <c r="G471" s="209" t="s">
        <v>770</v>
      </c>
      <c r="H471" s="194">
        <v>5900000</v>
      </c>
      <c r="I471" s="224"/>
      <c r="J471" s="225">
        <f t="shared" si="107"/>
        <v>6.0000006779661277</v>
      </c>
      <c r="K471" s="268">
        <v>36</v>
      </c>
      <c r="L471" s="198">
        <f t="shared" si="105"/>
        <v>0.16666668549905911</v>
      </c>
      <c r="M471" s="194">
        <v>5244444.4444444403</v>
      </c>
      <c r="N471" s="199">
        <f t="shared" si="109"/>
        <v>163888.88888888888</v>
      </c>
      <c r="O471" s="200">
        <f t="shared" si="103"/>
        <v>177000</v>
      </c>
      <c r="P471" s="200"/>
      <c r="Q471" s="200">
        <f t="shared" si="108"/>
        <v>340888.88888888888</v>
      </c>
      <c r="R471" s="201">
        <f>'[1]NOV''25'!Q480+N471-V471</f>
        <v>-0.11111111112404615</v>
      </c>
      <c r="S471" s="201">
        <f>'[1]NOV''25'!R480+O471-W471</f>
        <v>0</v>
      </c>
      <c r="T471" s="201">
        <f>'[1]NOV''25'!S480+P471-X471</f>
        <v>0</v>
      </c>
      <c r="U471" s="200">
        <f t="shared" si="104"/>
        <v>-0.11111111112404615</v>
      </c>
      <c r="V471" s="202">
        <f>163888.888888889+163889</f>
        <v>327777.88888888899</v>
      </c>
      <c r="W471" s="203">
        <f>177000+161646</f>
        <v>338646</v>
      </c>
      <c r="X471" s="203"/>
      <c r="Y471" s="200">
        <f t="shared" si="110"/>
        <v>666423.88888888899</v>
      </c>
      <c r="Z471" s="207">
        <f t="shared" si="106"/>
        <v>4916666.5555555513</v>
      </c>
      <c r="AA471" s="96"/>
      <c r="AB471" s="96" t="e">
        <f>#REF!-#REF!</f>
        <v>#REF!</v>
      </c>
    </row>
    <row r="472" spans="1:28" s="55" customFormat="1" x14ac:dyDescent="0.3">
      <c r="B472" s="191">
        <v>345</v>
      </c>
      <c r="C472" s="275" t="s">
        <v>771</v>
      </c>
      <c r="D472" s="276"/>
      <c r="E472" s="208">
        <v>45820</v>
      </c>
      <c r="F472" s="192" t="s">
        <v>179</v>
      </c>
      <c r="G472" s="209" t="s">
        <v>772</v>
      </c>
      <c r="H472" s="194">
        <v>8420000</v>
      </c>
      <c r="I472" s="224"/>
      <c r="J472" s="225">
        <f t="shared" si="107"/>
        <v>5.9999999999999831</v>
      </c>
      <c r="K472" s="268">
        <v>36</v>
      </c>
      <c r="L472" s="198">
        <f t="shared" si="105"/>
        <v>0.16666666666666619</v>
      </c>
      <c r="M472" s="194">
        <v>7250555.5555555597</v>
      </c>
      <c r="N472" s="199">
        <f t="shared" si="109"/>
        <v>233888.88888888888</v>
      </c>
      <c r="O472" s="200">
        <f t="shared" si="103"/>
        <v>252600</v>
      </c>
      <c r="P472" s="200"/>
      <c r="Q472" s="200">
        <f t="shared" si="108"/>
        <v>486488.88888888888</v>
      </c>
      <c r="R472" s="201">
        <f>'[1]NOV''25'!Q481+N472-V472</f>
        <v>0</v>
      </c>
      <c r="S472" s="201">
        <f>'[1]NOV''25'!R481+O472-W472</f>
        <v>0</v>
      </c>
      <c r="T472" s="201">
        <f>'[1]NOV''25'!S481+P472-X472</f>
        <v>0</v>
      </c>
      <c r="U472" s="200">
        <f t="shared" si="104"/>
        <v>0</v>
      </c>
      <c r="V472" s="202">
        <v>233888.88888888899</v>
      </c>
      <c r="W472" s="203">
        <v>252600</v>
      </c>
      <c r="X472" s="203"/>
      <c r="Y472" s="200">
        <f t="shared" si="110"/>
        <v>486488.88888888899</v>
      </c>
      <c r="Z472" s="207">
        <f t="shared" si="106"/>
        <v>7016666.6666666707</v>
      </c>
      <c r="AA472" s="96"/>
      <c r="AB472" s="96" t="e">
        <f>#REF!-#REF!</f>
        <v>#REF!</v>
      </c>
    </row>
    <row r="473" spans="1:28" s="55" customFormat="1" x14ac:dyDescent="0.3">
      <c r="B473" s="191">
        <v>346</v>
      </c>
      <c r="C473" s="205" t="s">
        <v>773</v>
      </c>
      <c r="D473" s="192"/>
      <c r="E473" s="208">
        <v>45820</v>
      </c>
      <c r="F473" s="192" t="s">
        <v>774</v>
      </c>
      <c r="G473" s="209" t="s">
        <v>666</v>
      </c>
      <c r="H473" s="194">
        <v>8000000</v>
      </c>
      <c r="I473" s="224"/>
      <c r="J473" s="225">
        <f t="shared" si="107"/>
        <v>5.9999999999999947</v>
      </c>
      <c r="K473" s="268">
        <v>36</v>
      </c>
      <c r="L473" s="198">
        <f t="shared" si="105"/>
        <v>0.16666666666666652</v>
      </c>
      <c r="M473" s="194">
        <v>6888888.8888888899</v>
      </c>
      <c r="N473" s="199">
        <f t="shared" si="109"/>
        <v>222222.22222222222</v>
      </c>
      <c r="O473" s="200">
        <f t="shared" si="103"/>
        <v>240000</v>
      </c>
      <c r="P473" s="200"/>
      <c r="Q473" s="200">
        <f t="shared" si="108"/>
        <v>462222.22222222225</v>
      </c>
      <c r="R473" s="201">
        <f>'[1]NOV''25'!Q482+N473-V473</f>
        <v>2.3283064365386963E-10</v>
      </c>
      <c r="S473" s="201">
        <f>'[1]NOV''25'!R482+O473-W473</f>
        <v>0</v>
      </c>
      <c r="T473" s="201">
        <f>'[1]NOV''25'!S482+P473-X473</f>
        <v>0</v>
      </c>
      <c r="U473" s="200">
        <f t="shared" si="104"/>
        <v>2.3283064365386963E-10</v>
      </c>
      <c r="V473" s="202">
        <v>222222.22222222199</v>
      </c>
      <c r="W473" s="203">
        <v>240000</v>
      </c>
      <c r="X473" s="203"/>
      <c r="Y473" s="200">
        <f t="shared" si="110"/>
        <v>462222.22222222202</v>
      </c>
      <c r="Z473" s="207">
        <f t="shared" si="106"/>
        <v>6666666.6666666679</v>
      </c>
      <c r="AA473" s="96"/>
      <c r="AB473" s="96" t="e">
        <f>#REF!-#REF!</f>
        <v>#REF!</v>
      </c>
    </row>
    <row r="474" spans="1:28" s="55" customFormat="1" x14ac:dyDescent="0.3">
      <c r="B474" s="191">
        <v>347</v>
      </c>
      <c r="C474" s="205" t="s">
        <v>775</v>
      </c>
      <c r="D474" s="192"/>
      <c r="E474" s="208">
        <v>45821</v>
      </c>
      <c r="F474" s="192" t="s">
        <v>776</v>
      </c>
      <c r="G474" s="209" t="s">
        <v>777</v>
      </c>
      <c r="H474" s="194">
        <v>7490000</v>
      </c>
      <c r="I474" s="224"/>
      <c r="J474" s="225">
        <f t="shared" si="107"/>
        <v>6.0000000000000115</v>
      </c>
      <c r="K474" s="268">
        <v>36</v>
      </c>
      <c r="L474" s="198">
        <f t="shared" si="105"/>
        <v>0.16666666666666699</v>
      </c>
      <c r="M474" s="194">
        <v>6449722.2222222202</v>
      </c>
      <c r="N474" s="199">
        <f t="shared" si="109"/>
        <v>208055.55555555556</v>
      </c>
      <c r="O474" s="200">
        <f t="shared" si="103"/>
        <v>224700</v>
      </c>
      <c r="P474" s="200"/>
      <c r="Q474" s="200">
        <f t="shared" si="108"/>
        <v>432755.55555555556</v>
      </c>
      <c r="R474" s="201">
        <f>'[1]NOV''25'!Q483+N474-V474</f>
        <v>-4.3655745685100555E-10</v>
      </c>
      <c r="S474" s="201">
        <f>'[1]NOV''25'!R483+O474-W474</f>
        <v>0</v>
      </c>
      <c r="T474" s="201">
        <f>'[1]NOV''25'!S483+P474-X474</f>
        <v>0</v>
      </c>
      <c r="U474" s="200">
        <f t="shared" si="104"/>
        <v>-4.3655745685100555E-10</v>
      </c>
      <c r="V474" s="202">
        <v>208055.555555556</v>
      </c>
      <c r="W474" s="203">
        <v>224700</v>
      </c>
      <c r="X474" s="203"/>
      <c r="Y474" s="200">
        <f t="shared" si="110"/>
        <v>432755.55555555597</v>
      </c>
      <c r="Z474" s="207">
        <f t="shared" si="106"/>
        <v>6241666.6666666642</v>
      </c>
      <c r="AA474" s="96"/>
      <c r="AB474" s="96" t="e">
        <f>#REF!-#REF!</f>
        <v>#REF!</v>
      </c>
    </row>
    <row r="475" spans="1:28" s="55" customFormat="1" x14ac:dyDescent="0.3">
      <c r="B475" s="191">
        <v>348</v>
      </c>
      <c r="C475" s="205" t="s">
        <v>778</v>
      </c>
      <c r="D475" s="192"/>
      <c r="E475" s="208">
        <v>45826</v>
      </c>
      <c r="F475" s="192" t="s">
        <v>779</v>
      </c>
      <c r="G475" s="209" t="s">
        <v>669</v>
      </c>
      <c r="H475" s="194">
        <v>12600000</v>
      </c>
      <c r="I475" s="224"/>
      <c r="J475" s="225">
        <f t="shared" si="107"/>
        <v>6</v>
      </c>
      <c r="K475" s="268">
        <v>36</v>
      </c>
      <c r="L475" s="198">
        <f t="shared" si="105"/>
        <v>0.16666666666666666</v>
      </c>
      <c r="M475" s="194">
        <v>10850000</v>
      </c>
      <c r="N475" s="199">
        <f t="shared" si="109"/>
        <v>350000</v>
      </c>
      <c r="O475" s="200">
        <f t="shared" si="103"/>
        <v>378000</v>
      </c>
      <c r="P475" s="200"/>
      <c r="Q475" s="200">
        <f t="shared" si="108"/>
        <v>728000</v>
      </c>
      <c r="R475" s="201">
        <f>'[1]NOV''25'!Q484+N475-V475</f>
        <v>0</v>
      </c>
      <c r="S475" s="201">
        <f>'[1]NOV''25'!R484+O475-W475</f>
        <v>0</v>
      </c>
      <c r="T475" s="201">
        <f>'[1]NOV''25'!S484+P475-X475</f>
        <v>0</v>
      </c>
      <c r="U475" s="200">
        <f t="shared" si="104"/>
        <v>0</v>
      </c>
      <c r="V475" s="202">
        <v>350000</v>
      </c>
      <c r="W475" s="203">
        <v>378000</v>
      </c>
      <c r="X475" s="203"/>
      <c r="Y475" s="200">
        <f t="shared" si="110"/>
        <v>728000</v>
      </c>
      <c r="Z475" s="207">
        <f t="shared" si="106"/>
        <v>10500000</v>
      </c>
      <c r="AA475" s="96"/>
      <c r="AB475" s="96" t="e">
        <f>#REF!-#REF!</f>
        <v>#REF!</v>
      </c>
    </row>
    <row r="476" spans="1:28" s="55" customFormat="1" x14ac:dyDescent="0.3">
      <c r="B476" s="191">
        <v>349</v>
      </c>
      <c r="C476" s="205" t="s">
        <v>780</v>
      </c>
      <c r="D476" s="192"/>
      <c r="E476" s="208">
        <v>45827</v>
      </c>
      <c r="F476" s="192" t="s">
        <v>781</v>
      </c>
      <c r="G476" s="209" t="s">
        <v>767</v>
      </c>
      <c r="H476" s="194">
        <v>4760000</v>
      </c>
      <c r="I476" s="224"/>
      <c r="J476" s="225">
        <f t="shared" si="107"/>
        <v>5.9999999999999911</v>
      </c>
      <c r="K476" s="268">
        <v>36</v>
      </c>
      <c r="L476" s="198">
        <f t="shared" si="105"/>
        <v>0.16666666666666641</v>
      </c>
      <c r="M476" s="194">
        <v>4098888.8888888899</v>
      </c>
      <c r="N476" s="199">
        <f t="shared" si="109"/>
        <v>132222.22222222222</v>
      </c>
      <c r="O476" s="200">
        <f t="shared" si="103"/>
        <v>142800</v>
      </c>
      <c r="P476" s="200"/>
      <c r="Q476" s="200">
        <f t="shared" si="108"/>
        <v>275022.22222222225</v>
      </c>
      <c r="R476" s="201">
        <f>'[1]NOV''25'!Q485+N476-V476</f>
        <v>2.3283064365386963E-10</v>
      </c>
      <c r="S476" s="201">
        <f>'[1]NOV''25'!R485+O476-W476</f>
        <v>0</v>
      </c>
      <c r="T476" s="201">
        <f>'[1]NOV''25'!S485+P476-X476</f>
        <v>0</v>
      </c>
      <c r="U476" s="200">
        <f t="shared" si="104"/>
        <v>2.3283064365386963E-10</v>
      </c>
      <c r="V476" s="202">
        <v>132222.22222222199</v>
      </c>
      <c r="W476" s="203">
        <v>142800</v>
      </c>
      <c r="X476" s="203"/>
      <c r="Y476" s="200">
        <f t="shared" si="110"/>
        <v>275022.22222222202</v>
      </c>
      <c r="Z476" s="207">
        <f t="shared" si="106"/>
        <v>3966666.6666666679</v>
      </c>
      <c r="AA476" s="96"/>
      <c r="AB476" s="96" t="e">
        <f>#REF!-#REF!</f>
        <v>#REF!</v>
      </c>
    </row>
    <row r="477" spans="1:28" s="55" customFormat="1" x14ac:dyDescent="0.3">
      <c r="B477" s="191">
        <v>350</v>
      </c>
      <c r="C477" s="205" t="s">
        <v>782</v>
      </c>
      <c r="D477" s="192"/>
      <c r="E477" s="208">
        <v>45828</v>
      </c>
      <c r="F477" s="192" t="s">
        <v>783</v>
      </c>
      <c r="G477" s="209" t="s">
        <v>784</v>
      </c>
      <c r="H477" s="194">
        <v>2200000</v>
      </c>
      <c r="I477" s="224"/>
      <c r="J477" s="225">
        <f t="shared" si="107"/>
        <v>6.0000000000000702</v>
      </c>
      <c r="K477" s="268">
        <v>36</v>
      </c>
      <c r="L477" s="198">
        <f t="shared" si="105"/>
        <v>0.16666666666666863</v>
      </c>
      <c r="M477" s="194">
        <v>1894444.4444444401</v>
      </c>
      <c r="N477" s="199">
        <f t="shared" si="109"/>
        <v>61111.111111111109</v>
      </c>
      <c r="O477" s="200">
        <f t="shared" si="103"/>
        <v>66000</v>
      </c>
      <c r="P477" s="200"/>
      <c r="Q477" s="200">
        <f t="shared" si="108"/>
        <v>127111.11111111111</v>
      </c>
      <c r="R477" s="201">
        <f>'[1]NOV''25'!Q486+N477-V477</f>
        <v>0</v>
      </c>
      <c r="S477" s="201">
        <f>'[1]NOV''25'!R486+O477-W477</f>
        <v>0</v>
      </c>
      <c r="T477" s="201">
        <f>'[1]NOV''25'!S486+P477-X477</f>
        <v>0</v>
      </c>
      <c r="U477" s="200">
        <f t="shared" si="104"/>
        <v>0</v>
      </c>
      <c r="V477" s="202">
        <v>61111.111111111102</v>
      </c>
      <c r="W477" s="203">
        <v>66000</v>
      </c>
      <c r="X477" s="203"/>
      <c r="Y477" s="200">
        <f t="shared" si="110"/>
        <v>127111.11111111109</v>
      </c>
      <c r="Z477" s="207">
        <f t="shared" si="106"/>
        <v>1833333.3333333291</v>
      </c>
      <c r="AA477" s="96"/>
      <c r="AB477" s="96" t="e">
        <f>#REF!-#REF!</f>
        <v>#REF!</v>
      </c>
    </row>
    <row r="478" spans="1:28" s="55" customFormat="1" x14ac:dyDescent="0.3">
      <c r="B478" s="191">
        <v>351</v>
      </c>
      <c r="C478" s="205" t="s">
        <v>785</v>
      </c>
      <c r="D478" s="192"/>
      <c r="E478" s="208">
        <v>45828</v>
      </c>
      <c r="F478" s="192" t="s">
        <v>176</v>
      </c>
      <c r="G478" s="209" t="s">
        <v>786</v>
      </c>
      <c r="H478" s="194">
        <v>5300000</v>
      </c>
      <c r="I478" s="224"/>
      <c r="J478" s="225">
        <f t="shared" si="107"/>
        <v>5.999999999999992</v>
      </c>
      <c r="K478" s="268">
        <v>36</v>
      </c>
      <c r="L478" s="198">
        <f t="shared" si="105"/>
        <v>0.16666666666666644</v>
      </c>
      <c r="M478" s="194">
        <v>4563888.8888888899</v>
      </c>
      <c r="N478" s="199">
        <f t="shared" si="109"/>
        <v>147222.22222222222</v>
      </c>
      <c r="O478" s="200">
        <f t="shared" si="103"/>
        <v>159000</v>
      </c>
      <c r="P478" s="200"/>
      <c r="Q478" s="200">
        <f t="shared" si="108"/>
        <v>306222.22222222225</v>
      </c>
      <c r="R478" s="201">
        <f>'[1]NOV''25'!Q487+N478-V478</f>
        <v>2.3283064365386963E-10</v>
      </c>
      <c r="S478" s="201">
        <f>'[1]NOV''25'!R487+O478-W478</f>
        <v>0</v>
      </c>
      <c r="T478" s="201">
        <f>'[1]NOV''25'!S487+P478-X478</f>
        <v>0</v>
      </c>
      <c r="U478" s="200">
        <f t="shared" si="104"/>
        <v>2.3283064365386963E-10</v>
      </c>
      <c r="V478" s="202">
        <v>147222.22222222199</v>
      </c>
      <c r="W478" s="203">
        <v>159000</v>
      </c>
      <c r="X478" s="203"/>
      <c r="Y478" s="200">
        <f t="shared" si="110"/>
        <v>306222.22222222202</v>
      </c>
      <c r="Z478" s="207">
        <f t="shared" si="106"/>
        <v>4416666.6666666679</v>
      </c>
      <c r="AA478" s="96"/>
      <c r="AB478" s="96" t="e">
        <f>#REF!-#REF!</f>
        <v>#REF!</v>
      </c>
    </row>
    <row r="479" spans="1:28" s="55" customFormat="1" x14ac:dyDescent="0.3">
      <c r="B479" s="191">
        <v>352</v>
      </c>
      <c r="C479" s="205" t="s">
        <v>787</v>
      </c>
      <c r="D479" s="192"/>
      <c r="E479" s="208">
        <v>45831</v>
      </c>
      <c r="F479" s="192" t="s">
        <v>788</v>
      </c>
      <c r="G479" s="209" t="s">
        <v>789</v>
      </c>
      <c r="H479" s="194">
        <v>10500000</v>
      </c>
      <c r="I479" s="224">
        <v>2.5000000000000001E-2</v>
      </c>
      <c r="J479" s="225">
        <f t="shared" si="107"/>
        <v>5.9999999999999867</v>
      </c>
      <c r="K479" s="268">
        <v>36</v>
      </c>
      <c r="L479" s="198">
        <f t="shared" si="105"/>
        <v>0.1666666666666663</v>
      </c>
      <c r="M479" s="194">
        <v>9041666.6666666698</v>
      </c>
      <c r="N479" s="199">
        <f t="shared" si="109"/>
        <v>291666.66666666669</v>
      </c>
      <c r="O479" s="200">
        <f>SUM(H479*I479)</f>
        <v>262500</v>
      </c>
      <c r="P479" s="200">
        <v>10000</v>
      </c>
      <c r="Q479" s="200">
        <f>+N479+O479+P479</f>
        <v>564166.66666666674</v>
      </c>
      <c r="R479" s="201">
        <f>'[1]NOV''25'!Q488+N479-V479</f>
        <v>0</v>
      </c>
      <c r="S479" s="201">
        <f>'[1]NOV''25'!R488+O479-W479</f>
        <v>0</v>
      </c>
      <c r="T479" s="201">
        <f>'[1]NOV''25'!S488+P479-X479</f>
        <v>0</v>
      </c>
      <c r="U479" s="200">
        <f t="shared" si="104"/>
        <v>0</v>
      </c>
      <c r="V479" s="202">
        <v>291666.66666666698</v>
      </c>
      <c r="W479" s="203">
        <v>262500</v>
      </c>
      <c r="X479" s="203">
        <v>10000</v>
      </c>
      <c r="Y479" s="200">
        <f t="shared" si="110"/>
        <v>564166.66666666698</v>
      </c>
      <c r="Z479" s="207">
        <f t="shared" si="106"/>
        <v>8750000.0000000037</v>
      </c>
      <c r="AA479" s="96"/>
      <c r="AB479" s="96" t="e">
        <f>#REF!-#REF!</f>
        <v>#REF!</v>
      </c>
    </row>
    <row r="480" spans="1:28" s="190" customFormat="1" x14ac:dyDescent="0.3">
      <c r="A480" s="55"/>
      <c r="B480" s="191">
        <v>353</v>
      </c>
      <c r="C480" s="227" t="s">
        <v>790</v>
      </c>
      <c r="D480" s="228"/>
      <c r="E480" s="229">
        <v>45839</v>
      </c>
      <c r="F480" s="228" t="s">
        <v>189</v>
      </c>
      <c r="G480" s="230" t="s">
        <v>298</v>
      </c>
      <c r="H480" s="231">
        <v>9588000</v>
      </c>
      <c r="I480" s="232">
        <v>2.5000000000000001E-2</v>
      </c>
      <c r="J480" s="206">
        <f t="shared" si="107"/>
        <v>5.0000000000000222</v>
      </c>
      <c r="K480" s="233">
        <v>36</v>
      </c>
      <c r="L480" s="189">
        <f t="shared" si="105"/>
        <v>0.13888888888888951</v>
      </c>
      <c r="M480" s="194">
        <v>8522666.6666666605</v>
      </c>
      <c r="N480" s="234">
        <f t="shared" si="109"/>
        <v>266333.33333333331</v>
      </c>
      <c r="O480" s="235">
        <f t="shared" ref="O480:O543" si="111">SUM(H480*I480)</f>
        <v>239700</v>
      </c>
      <c r="P480" s="235">
        <v>10000</v>
      </c>
      <c r="Q480" s="235">
        <f t="shared" ref="Q480:Q543" si="112">+N480+O480+P480</f>
        <v>516033.33333333331</v>
      </c>
      <c r="R480" s="201">
        <f>'[1]NOV''25'!Q489+N480-V480</f>
        <v>0</v>
      </c>
      <c r="S480" s="201">
        <f>'[1]NOV''25'!R489+O480-W480</f>
        <v>0</v>
      </c>
      <c r="T480" s="201">
        <f>'[1]NOV''25'!S489+P480-X480</f>
        <v>0</v>
      </c>
      <c r="U480" s="200">
        <f t="shared" si="104"/>
        <v>0</v>
      </c>
      <c r="V480" s="236">
        <v>266333.33333333302</v>
      </c>
      <c r="W480" s="237">
        <v>239700</v>
      </c>
      <c r="X480" s="237">
        <v>10000</v>
      </c>
      <c r="Y480" s="200">
        <f t="shared" si="110"/>
        <v>516033.33333333302</v>
      </c>
      <c r="Z480" s="238">
        <f t="shared" si="106"/>
        <v>8256333.3333333274</v>
      </c>
      <c r="AA480" s="96"/>
      <c r="AB480" s="96" t="e">
        <f>#REF!-#REF!</f>
        <v>#REF!</v>
      </c>
    </row>
    <row r="481" spans="1:28" s="55" customFormat="1" x14ac:dyDescent="0.3">
      <c r="B481" s="191">
        <v>354</v>
      </c>
      <c r="C481" s="205" t="s">
        <v>791</v>
      </c>
      <c r="D481" s="192"/>
      <c r="E481" s="208">
        <v>45840</v>
      </c>
      <c r="F481" s="192" t="s">
        <v>792</v>
      </c>
      <c r="G481" s="209" t="s">
        <v>793</v>
      </c>
      <c r="H481" s="194">
        <v>10800000</v>
      </c>
      <c r="I481" s="224">
        <v>2.5000000000000001E-2</v>
      </c>
      <c r="J481" s="206">
        <f t="shared" si="107"/>
        <v>5</v>
      </c>
      <c r="K481" s="213">
        <v>36</v>
      </c>
      <c r="L481" s="198">
        <f t="shared" si="105"/>
        <v>0.1388888888888889</v>
      </c>
      <c r="M481" s="194">
        <v>9600000</v>
      </c>
      <c r="N481" s="199">
        <f t="shared" si="109"/>
        <v>300000</v>
      </c>
      <c r="O481" s="200">
        <f t="shared" si="111"/>
        <v>270000</v>
      </c>
      <c r="P481" s="200">
        <v>10000</v>
      </c>
      <c r="Q481" s="200">
        <f t="shared" si="112"/>
        <v>580000</v>
      </c>
      <c r="R481" s="201">
        <f>'[1]NOV''25'!Q490+N481-V481</f>
        <v>0</v>
      </c>
      <c r="S481" s="201">
        <f>'[1]NOV''25'!R490+O481-W481</f>
        <v>0</v>
      </c>
      <c r="T481" s="201">
        <f>'[1]NOV''25'!S490+P481-X481</f>
        <v>0</v>
      </c>
      <c r="U481" s="200">
        <f t="shared" si="104"/>
        <v>0</v>
      </c>
      <c r="V481" s="202">
        <v>300000</v>
      </c>
      <c r="W481" s="203">
        <v>270000</v>
      </c>
      <c r="X481" s="203">
        <v>10000</v>
      </c>
      <c r="Y481" s="200">
        <f t="shared" si="110"/>
        <v>580000</v>
      </c>
      <c r="Z481" s="207">
        <f t="shared" si="106"/>
        <v>9300000</v>
      </c>
      <c r="AA481" s="96"/>
      <c r="AB481" s="96" t="e">
        <f>#REF!-#REF!</f>
        <v>#REF!</v>
      </c>
    </row>
    <row r="482" spans="1:28" s="190" customFormat="1" x14ac:dyDescent="0.3">
      <c r="A482" s="55"/>
      <c r="B482" s="191">
        <v>355</v>
      </c>
      <c r="C482" s="227" t="s">
        <v>794</v>
      </c>
      <c r="D482" s="228"/>
      <c r="E482" s="229">
        <v>45841</v>
      </c>
      <c r="F482" s="228" t="s">
        <v>193</v>
      </c>
      <c r="G482" s="230" t="s">
        <v>298</v>
      </c>
      <c r="H482" s="231">
        <v>7800000</v>
      </c>
      <c r="I482" s="232">
        <v>2.5000000000000001E-2</v>
      </c>
      <c r="J482" s="206">
        <f t="shared" si="107"/>
        <v>5.000000000000016</v>
      </c>
      <c r="K482" s="233">
        <v>36</v>
      </c>
      <c r="L482" s="189">
        <f t="shared" si="105"/>
        <v>0.13888888888888934</v>
      </c>
      <c r="M482" s="194">
        <v>6933333.3333333302</v>
      </c>
      <c r="N482" s="234">
        <f t="shared" si="109"/>
        <v>216666.66666666666</v>
      </c>
      <c r="O482" s="235">
        <f t="shared" si="111"/>
        <v>195000</v>
      </c>
      <c r="P482" s="235">
        <v>10000</v>
      </c>
      <c r="Q482" s="235">
        <f t="shared" si="112"/>
        <v>421666.66666666663</v>
      </c>
      <c r="R482" s="201">
        <f>'[1]NOV''25'!Q491+N482-V482</f>
        <v>-3.4924596548080444E-10</v>
      </c>
      <c r="S482" s="201">
        <f>'[1]NOV''25'!R491+O482-W482</f>
        <v>0</v>
      </c>
      <c r="T482" s="201">
        <f>'[1]NOV''25'!S491+P482-X482</f>
        <v>0</v>
      </c>
      <c r="U482" s="200">
        <f t="shared" si="104"/>
        <v>-3.4924596548080444E-10</v>
      </c>
      <c r="V482" s="236">
        <v>216666.66666666701</v>
      </c>
      <c r="W482" s="237">
        <v>195000</v>
      </c>
      <c r="X482" s="237">
        <v>10000</v>
      </c>
      <c r="Y482" s="200">
        <f t="shared" si="110"/>
        <v>421666.66666666698</v>
      </c>
      <c r="Z482" s="238">
        <f t="shared" si="106"/>
        <v>6716666.6666666633</v>
      </c>
      <c r="AA482" s="96"/>
      <c r="AB482" s="96" t="e">
        <f>#REF!-#REF!</f>
        <v>#REF!</v>
      </c>
    </row>
    <row r="483" spans="1:28" s="55" customFormat="1" x14ac:dyDescent="0.3">
      <c r="B483" s="191">
        <v>356</v>
      </c>
      <c r="C483" s="205" t="s">
        <v>795</v>
      </c>
      <c r="D483" s="192"/>
      <c r="E483" s="208">
        <v>45841</v>
      </c>
      <c r="F483" s="192" t="s">
        <v>796</v>
      </c>
      <c r="G483" s="209" t="s">
        <v>303</v>
      </c>
      <c r="H483" s="194">
        <v>5000000</v>
      </c>
      <c r="I483" s="224">
        <v>2.5000000000000001E-2</v>
      </c>
      <c r="J483" s="206">
        <f t="shared" si="107"/>
        <v>4.9999999999999964</v>
      </c>
      <c r="K483" s="213">
        <v>24</v>
      </c>
      <c r="L483" s="198">
        <f t="shared" si="105"/>
        <v>0.20833333333333318</v>
      </c>
      <c r="M483" s="194">
        <v>4375000</v>
      </c>
      <c r="N483" s="199">
        <f t="shared" si="109"/>
        <v>208333.33333333334</v>
      </c>
      <c r="O483" s="200">
        <f t="shared" si="111"/>
        <v>125000</v>
      </c>
      <c r="P483" s="200">
        <v>10000</v>
      </c>
      <c r="Q483" s="200">
        <f t="shared" si="112"/>
        <v>343333.33333333337</v>
      </c>
      <c r="R483" s="201">
        <f>'[1]NOV''25'!Q492+N483-V483</f>
        <v>0</v>
      </c>
      <c r="S483" s="201">
        <f>'[1]NOV''25'!R492+O483-W483</f>
        <v>0</v>
      </c>
      <c r="T483" s="201">
        <f>'[1]NOV''25'!S492+P483-X483</f>
        <v>0</v>
      </c>
      <c r="U483" s="200">
        <f t="shared" si="104"/>
        <v>0</v>
      </c>
      <c r="V483" s="202">
        <f>208333.333333333+208333.333333333</f>
        <v>416666.66666666599</v>
      </c>
      <c r="W483" s="203">
        <f>125000+122051</f>
        <v>247051</v>
      </c>
      <c r="X483" s="203">
        <f>10000+10000</f>
        <v>20000</v>
      </c>
      <c r="Y483" s="200">
        <f t="shared" si="110"/>
        <v>683717.66666666605</v>
      </c>
      <c r="Z483" s="207">
        <f t="shared" si="106"/>
        <v>3958333.333333334</v>
      </c>
      <c r="AA483" s="96"/>
      <c r="AB483" s="96" t="e">
        <f>#REF!-#REF!</f>
        <v>#REF!</v>
      </c>
    </row>
    <row r="484" spans="1:28" s="55" customFormat="1" x14ac:dyDescent="0.3">
      <c r="B484" s="191">
        <v>357</v>
      </c>
      <c r="C484" s="205" t="s">
        <v>797</v>
      </c>
      <c r="D484" s="192"/>
      <c r="E484" s="208">
        <v>45842</v>
      </c>
      <c r="F484" s="192" t="s">
        <v>798</v>
      </c>
      <c r="G484" s="209" t="s">
        <v>799</v>
      </c>
      <c r="H484" s="194">
        <v>10400000</v>
      </c>
      <c r="I484" s="224">
        <v>2.5000000000000001E-2</v>
      </c>
      <c r="J484" s="206">
        <f t="shared" si="107"/>
        <v>4.9999999999999858</v>
      </c>
      <c r="K484" s="213">
        <v>36</v>
      </c>
      <c r="L484" s="198">
        <f t="shared" si="105"/>
        <v>0.13888888888888851</v>
      </c>
      <c r="M484" s="194">
        <v>9244444.4444444496</v>
      </c>
      <c r="N484" s="199">
        <f t="shared" si="109"/>
        <v>288888.88888888888</v>
      </c>
      <c r="O484" s="200">
        <f t="shared" si="111"/>
        <v>260000</v>
      </c>
      <c r="P484" s="200">
        <v>10000</v>
      </c>
      <c r="Q484" s="200">
        <f t="shared" si="112"/>
        <v>558888.88888888888</v>
      </c>
      <c r="R484" s="201">
        <f>'[1]NOV''25'!Q493+N484-V484</f>
        <v>0</v>
      </c>
      <c r="S484" s="201">
        <f>'[1]NOV''25'!R493+O484-W484</f>
        <v>0</v>
      </c>
      <c r="T484" s="201">
        <f>'[1]NOV''25'!S493+P484-X484</f>
        <v>0</v>
      </c>
      <c r="U484" s="200">
        <f t="shared" si="104"/>
        <v>0</v>
      </c>
      <c r="V484" s="202">
        <v>288888.88888888899</v>
      </c>
      <c r="W484" s="203">
        <v>260000</v>
      </c>
      <c r="X484" s="203">
        <v>10000</v>
      </c>
      <c r="Y484" s="200">
        <f t="shared" si="110"/>
        <v>558888.88888888899</v>
      </c>
      <c r="Z484" s="207">
        <f t="shared" si="106"/>
        <v>8955555.5555555597</v>
      </c>
      <c r="AA484" s="96"/>
      <c r="AB484" s="96" t="e">
        <f>#REF!-#REF!</f>
        <v>#REF!</v>
      </c>
    </row>
    <row r="485" spans="1:28" s="55" customFormat="1" x14ac:dyDescent="0.3">
      <c r="B485" s="191">
        <v>358</v>
      </c>
      <c r="C485" s="227" t="s">
        <v>800</v>
      </c>
      <c r="D485" s="228"/>
      <c r="E485" s="229">
        <v>45842</v>
      </c>
      <c r="F485" s="228" t="s">
        <v>197</v>
      </c>
      <c r="G485" s="230" t="s">
        <v>298</v>
      </c>
      <c r="H485" s="231">
        <v>7897000</v>
      </c>
      <c r="I485" s="232">
        <v>2.5000000000000001E-2</v>
      </c>
      <c r="J485" s="206">
        <f t="shared" si="107"/>
        <v>4.9999999999999805</v>
      </c>
      <c r="K485" s="233">
        <v>36</v>
      </c>
      <c r="L485" s="189">
        <f t="shared" si="105"/>
        <v>0.13888888888888834</v>
      </c>
      <c r="M485" s="194">
        <v>7019555.5555555597</v>
      </c>
      <c r="N485" s="234">
        <f t="shared" si="109"/>
        <v>219361.11111111112</v>
      </c>
      <c r="O485" s="235">
        <f t="shared" si="111"/>
        <v>197425</v>
      </c>
      <c r="P485" s="235">
        <v>10000</v>
      </c>
      <c r="Q485" s="235">
        <f t="shared" si="112"/>
        <v>426786.11111111112</v>
      </c>
      <c r="R485" s="201">
        <f>'[1]NOV''25'!Q494+N485-V485</f>
        <v>0</v>
      </c>
      <c r="S485" s="201">
        <f>'[1]NOV''25'!R494+O485-W485</f>
        <v>0</v>
      </c>
      <c r="T485" s="201">
        <f>'[1]NOV''25'!S494+P485-X485</f>
        <v>0</v>
      </c>
      <c r="U485" s="200">
        <f t="shared" si="104"/>
        <v>0</v>
      </c>
      <c r="V485" s="236">
        <v>219361.11111111101</v>
      </c>
      <c r="W485" s="237">
        <v>197425</v>
      </c>
      <c r="X485" s="237">
        <v>10000</v>
      </c>
      <c r="Y485" s="200">
        <f t="shared" si="110"/>
        <v>426786.11111111101</v>
      </c>
      <c r="Z485" s="238">
        <f t="shared" si="106"/>
        <v>6800194.4444444487</v>
      </c>
      <c r="AA485" s="96"/>
      <c r="AB485" s="96" t="e">
        <f>#REF!-#REF!</f>
        <v>#REF!</v>
      </c>
    </row>
    <row r="486" spans="1:28" s="55" customFormat="1" x14ac:dyDescent="0.3">
      <c r="B486" s="250">
        <v>359</v>
      </c>
      <c r="C486" s="273" t="s">
        <v>801</v>
      </c>
      <c r="D486" s="251"/>
      <c r="E486" s="252">
        <v>45842</v>
      </c>
      <c r="F486" s="251" t="s">
        <v>187</v>
      </c>
      <c r="G486" s="253" t="s">
        <v>298</v>
      </c>
      <c r="H486" s="254">
        <v>11825000</v>
      </c>
      <c r="I486" s="255">
        <v>2.5000000000000001E-2</v>
      </c>
      <c r="J486" s="256">
        <f t="shared" si="107"/>
        <v>5.0000000000000302</v>
      </c>
      <c r="K486" s="267">
        <v>36</v>
      </c>
      <c r="L486" s="258">
        <f t="shared" si="105"/>
        <v>0.13888888888888973</v>
      </c>
      <c r="M486" s="194">
        <v>10511111.111111101</v>
      </c>
      <c r="N486" s="259">
        <f t="shared" si="109"/>
        <v>328472.22222222225</v>
      </c>
      <c r="O486" s="260">
        <f t="shared" si="111"/>
        <v>295625</v>
      </c>
      <c r="P486" s="260">
        <v>10000</v>
      </c>
      <c r="Q486" s="260">
        <f t="shared" si="112"/>
        <v>634097.22222222225</v>
      </c>
      <c r="R486" s="201">
        <f>'[1]NOV''25'!Q495+N486-V486</f>
        <v>0</v>
      </c>
      <c r="S486" s="201">
        <f>'[1]NOV''25'!R495+O486-W486</f>
        <v>0</v>
      </c>
      <c r="T486" s="201">
        <f>'[1]NOV''25'!S495+P486-X486</f>
        <v>0</v>
      </c>
      <c r="U486" s="200">
        <f t="shared" si="104"/>
        <v>0</v>
      </c>
      <c r="V486" s="261">
        <v>328472.22222222202</v>
      </c>
      <c r="W486" s="262">
        <v>295625</v>
      </c>
      <c r="X486" s="262">
        <v>10000</v>
      </c>
      <c r="Y486" s="200">
        <f t="shared" si="110"/>
        <v>634097.22222222202</v>
      </c>
      <c r="Z486" s="263">
        <f t="shared" si="106"/>
        <v>10182638.888888879</v>
      </c>
      <c r="AA486" s="96" t="s">
        <v>502</v>
      </c>
      <c r="AB486" s="96" t="e">
        <f>#REF!-#REF!</f>
        <v>#REF!</v>
      </c>
    </row>
    <row r="487" spans="1:28" s="55" customFormat="1" x14ac:dyDescent="0.3">
      <c r="B487" s="191">
        <v>360</v>
      </c>
      <c r="C487" s="205" t="s">
        <v>802</v>
      </c>
      <c r="D487" s="192"/>
      <c r="E487" s="208">
        <v>45842</v>
      </c>
      <c r="F487" s="192" t="s">
        <v>803</v>
      </c>
      <c r="G487" s="209" t="s">
        <v>701</v>
      </c>
      <c r="H487" s="194">
        <v>7750000</v>
      </c>
      <c r="I487" s="224">
        <v>2.5000000000000001E-2</v>
      </c>
      <c r="J487" s="206">
        <f t="shared" si="107"/>
        <v>4.9999999999999964</v>
      </c>
      <c r="K487" s="213">
        <v>36</v>
      </c>
      <c r="L487" s="198">
        <f t="shared" si="105"/>
        <v>0.13888888888888878</v>
      </c>
      <c r="M487" s="194">
        <v>6888888.8888888899</v>
      </c>
      <c r="N487" s="199">
        <f t="shared" si="109"/>
        <v>215277.77777777778</v>
      </c>
      <c r="O487" s="200">
        <f t="shared" si="111"/>
        <v>193750</v>
      </c>
      <c r="P487" s="200">
        <v>10000</v>
      </c>
      <c r="Q487" s="200">
        <f t="shared" si="112"/>
        <v>419027.77777777775</v>
      </c>
      <c r="R487" s="201">
        <f>'[1]NOV''25'!Q496+N487-V487</f>
        <v>-2.3283064365386963E-10</v>
      </c>
      <c r="S487" s="201">
        <f>'[1]NOV''25'!R496+O487-W487</f>
        <v>0</v>
      </c>
      <c r="T487" s="201">
        <f>'[1]NOV''25'!S496+P487-X487</f>
        <v>0</v>
      </c>
      <c r="U487" s="200">
        <f t="shared" si="104"/>
        <v>-2.3283064365386963E-10</v>
      </c>
      <c r="V487" s="202">
        <v>215277.77777777801</v>
      </c>
      <c r="W487" s="203">
        <v>193750</v>
      </c>
      <c r="X487" s="203">
        <v>10000</v>
      </c>
      <c r="Y487" s="200">
        <f t="shared" si="110"/>
        <v>419027.77777777798</v>
      </c>
      <c r="Z487" s="207">
        <f t="shared" si="106"/>
        <v>6673611.1111111119</v>
      </c>
      <c r="AA487" s="96"/>
      <c r="AB487" s="96" t="e">
        <f>#REF!-#REF!</f>
        <v>#REF!</v>
      </c>
    </row>
    <row r="488" spans="1:28" s="55" customFormat="1" x14ac:dyDescent="0.3">
      <c r="B488" s="191">
        <v>361</v>
      </c>
      <c r="C488" s="205" t="s">
        <v>804</v>
      </c>
      <c r="D488" s="192"/>
      <c r="E488" s="208">
        <v>45845</v>
      </c>
      <c r="F488" s="192" t="s">
        <v>805</v>
      </c>
      <c r="G488" s="209" t="s">
        <v>298</v>
      </c>
      <c r="H488" s="194">
        <v>5731000</v>
      </c>
      <c r="I488" s="224">
        <v>2.5000000000000001E-2</v>
      </c>
      <c r="J488" s="206">
        <f t="shared" si="107"/>
        <v>5.0000000000000107</v>
      </c>
      <c r="K488" s="213">
        <v>36</v>
      </c>
      <c r="L488" s="198">
        <f t="shared" si="105"/>
        <v>0.13888888888888917</v>
      </c>
      <c r="M488" s="194">
        <v>5094222.2222222202</v>
      </c>
      <c r="N488" s="199">
        <f t="shared" si="109"/>
        <v>159194.44444444444</v>
      </c>
      <c r="O488" s="200">
        <f t="shared" si="111"/>
        <v>143275</v>
      </c>
      <c r="P488" s="200">
        <v>10000</v>
      </c>
      <c r="Q488" s="200">
        <f t="shared" si="112"/>
        <v>312469.44444444444</v>
      </c>
      <c r="R488" s="201">
        <f>'[1]NOV''25'!Q497+N488-V488</f>
        <v>4.3655745685100555E-10</v>
      </c>
      <c r="S488" s="201">
        <f>'[1]NOV''25'!R497+O488-W488</f>
        <v>0</v>
      </c>
      <c r="T488" s="201">
        <f>'[1]NOV''25'!S497+P488-X488</f>
        <v>0</v>
      </c>
      <c r="U488" s="200">
        <f t="shared" si="104"/>
        <v>4.3655745685100555E-10</v>
      </c>
      <c r="V488" s="202">
        <v>159194.444444444</v>
      </c>
      <c r="W488" s="203">
        <v>143275</v>
      </c>
      <c r="X488" s="203">
        <v>10000</v>
      </c>
      <c r="Y488" s="200">
        <f t="shared" si="110"/>
        <v>312469.44444444403</v>
      </c>
      <c r="Z488" s="207">
        <f t="shared" ref="Z488:Z534" si="113">SUM(M488-V488)</f>
        <v>4935027.7777777761</v>
      </c>
      <c r="AA488" s="96"/>
      <c r="AB488" s="96" t="e">
        <f>#REF!-#REF!</f>
        <v>#REF!</v>
      </c>
    </row>
    <row r="489" spans="1:28" s="55" customFormat="1" x14ac:dyDescent="0.3">
      <c r="B489" s="191">
        <v>362</v>
      </c>
      <c r="C489" s="205" t="s">
        <v>806</v>
      </c>
      <c r="D489" s="192"/>
      <c r="E489" s="208">
        <v>45846</v>
      </c>
      <c r="F489" s="192" t="s">
        <v>807</v>
      </c>
      <c r="G489" s="209" t="s">
        <v>701</v>
      </c>
      <c r="H489" s="194">
        <v>1700000</v>
      </c>
      <c r="I489" s="224">
        <v>2.5000000000000001E-2</v>
      </c>
      <c r="J489" s="206">
        <f t="shared" si="107"/>
        <v>4.9999999999999982</v>
      </c>
      <c r="K489" s="213">
        <v>24</v>
      </c>
      <c r="L489" s="198">
        <f t="shared" si="105"/>
        <v>0.20833333333333326</v>
      </c>
      <c r="M489" s="194">
        <v>1487500</v>
      </c>
      <c r="N489" s="199">
        <f t="shared" si="109"/>
        <v>70833.333333333328</v>
      </c>
      <c r="O489" s="200">
        <f t="shared" si="111"/>
        <v>42500</v>
      </c>
      <c r="P489" s="200">
        <v>10000</v>
      </c>
      <c r="Q489" s="200">
        <f t="shared" si="112"/>
        <v>123333.33333333333</v>
      </c>
      <c r="R489" s="201">
        <f>'[1]NOV''25'!Q498+N489-V489</f>
        <v>0</v>
      </c>
      <c r="S489" s="201">
        <f>'[1]NOV''25'!R498+O489-W489</f>
        <v>0</v>
      </c>
      <c r="T489" s="201">
        <f>'[1]NOV''25'!S498+P489-X489</f>
        <v>0</v>
      </c>
      <c r="U489" s="200">
        <f t="shared" si="104"/>
        <v>0</v>
      </c>
      <c r="V489" s="202">
        <f>70833.3333333333+70833.3333333333</f>
        <v>141666.6666666666</v>
      </c>
      <c r="W489" s="203">
        <f>42500+42500</f>
        <v>85000</v>
      </c>
      <c r="X489" s="203">
        <f>10000+10000</f>
        <v>20000</v>
      </c>
      <c r="Y489" s="200">
        <f t="shared" si="110"/>
        <v>246666.6666666666</v>
      </c>
      <c r="Z489" s="207">
        <f t="shared" si="113"/>
        <v>1345833.3333333335</v>
      </c>
      <c r="AA489" s="96"/>
      <c r="AB489" s="96" t="e">
        <f>#REF!-#REF!</f>
        <v>#REF!</v>
      </c>
    </row>
    <row r="490" spans="1:28" s="55" customFormat="1" x14ac:dyDescent="0.3">
      <c r="B490" s="191">
        <v>363</v>
      </c>
      <c r="C490" s="205" t="s">
        <v>808</v>
      </c>
      <c r="D490" s="192"/>
      <c r="E490" s="208">
        <v>45846</v>
      </c>
      <c r="F490" s="192" t="s">
        <v>809</v>
      </c>
      <c r="G490" s="209" t="s">
        <v>701</v>
      </c>
      <c r="H490" s="194">
        <v>5158000</v>
      </c>
      <c r="I490" s="224">
        <v>2.5000000000000001E-2</v>
      </c>
      <c r="J490" s="206">
        <f t="shared" si="107"/>
        <v>4.999999999999992</v>
      </c>
      <c r="K490" s="213">
        <v>12</v>
      </c>
      <c r="L490" s="198">
        <f t="shared" si="105"/>
        <v>0.41666666666666602</v>
      </c>
      <c r="M490" s="194">
        <v>3438666.6666666698</v>
      </c>
      <c r="N490" s="199">
        <f t="shared" si="109"/>
        <v>429833.33333333331</v>
      </c>
      <c r="O490" s="200">
        <f t="shared" si="111"/>
        <v>128950</v>
      </c>
      <c r="P490" s="200">
        <v>10000</v>
      </c>
      <c r="Q490" s="200">
        <f t="shared" si="112"/>
        <v>568783.33333333326</v>
      </c>
      <c r="R490" s="201">
        <f>'[1]NOV''25'!Q499+N490-V490</f>
        <v>0</v>
      </c>
      <c r="S490" s="201">
        <f>'[1]NOV''25'!R499+O490-W490</f>
        <v>0</v>
      </c>
      <c r="T490" s="201">
        <f>'[1]NOV''25'!S499+P490-X490</f>
        <v>0</v>
      </c>
      <c r="U490" s="200">
        <f t="shared" si="104"/>
        <v>0</v>
      </c>
      <c r="V490" s="202">
        <v>429833.33333333302</v>
      </c>
      <c r="W490" s="203">
        <v>128950</v>
      </c>
      <c r="X490" s="203">
        <v>10000</v>
      </c>
      <c r="Y490" s="200">
        <f t="shared" si="110"/>
        <v>568783.33333333302</v>
      </c>
      <c r="Z490" s="207">
        <f t="shared" si="113"/>
        <v>3008833.3333333367</v>
      </c>
      <c r="AA490" s="96"/>
      <c r="AB490" s="96" t="e">
        <f>#REF!-#REF!</f>
        <v>#REF!</v>
      </c>
    </row>
    <row r="491" spans="1:28" s="55" customFormat="1" x14ac:dyDescent="0.3">
      <c r="B491" s="191">
        <v>364</v>
      </c>
      <c r="C491" s="205" t="s">
        <v>810</v>
      </c>
      <c r="D491" s="192"/>
      <c r="E491" s="208">
        <v>45847</v>
      </c>
      <c r="F491" s="192" t="s">
        <v>195</v>
      </c>
      <c r="G491" s="209" t="s">
        <v>811</v>
      </c>
      <c r="H491" s="194">
        <v>10607000</v>
      </c>
      <c r="I491" s="224">
        <v>2.5000000000000001E-2</v>
      </c>
      <c r="J491" s="206">
        <f t="shared" si="107"/>
        <v>4.9999999999999858</v>
      </c>
      <c r="K491" s="213">
        <v>36</v>
      </c>
      <c r="L491" s="198">
        <f t="shared" si="105"/>
        <v>0.13888888888888851</v>
      </c>
      <c r="M491" s="194">
        <v>9428444.4444444496</v>
      </c>
      <c r="N491" s="199">
        <f t="shared" si="109"/>
        <v>294638.88888888888</v>
      </c>
      <c r="O491" s="200">
        <f t="shared" si="111"/>
        <v>265175</v>
      </c>
      <c r="P491" s="200">
        <v>10000</v>
      </c>
      <c r="Q491" s="200">
        <f t="shared" si="112"/>
        <v>569813.88888888888</v>
      </c>
      <c r="R491" s="201">
        <f>'[1]NOV''25'!Q500+N491-V491</f>
        <v>0</v>
      </c>
      <c r="S491" s="201">
        <f>'[1]NOV''25'!R500+O491-W491</f>
        <v>0</v>
      </c>
      <c r="T491" s="201">
        <f>'[1]NOV''25'!S500+P491-X491</f>
        <v>0</v>
      </c>
      <c r="U491" s="200">
        <f t="shared" si="104"/>
        <v>0</v>
      </c>
      <c r="V491" s="202">
        <v>294638.88888888899</v>
      </c>
      <c r="W491" s="203">
        <v>265175</v>
      </c>
      <c r="X491" s="203">
        <v>10000</v>
      </c>
      <c r="Y491" s="200">
        <f t="shared" si="110"/>
        <v>569813.88888888899</v>
      </c>
      <c r="Z491" s="207">
        <f t="shared" si="113"/>
        <v>9133805.5555555597</v>
      </c>
      <c r="AA491" s="96"/>
      <c r="AB491" s="96" t="e">
        <f>#REF!-#REF!</f>
        <v>#REF!</v>
      </c>
    </row>
    <row r="492" spans="1:28" s="55" customFormat="1" x14ac:dyDescent="0.3">
      <c r="B492" s="191">
        <v>365</v>
      </c>
      <c r="C492" s="205" t="s">
        <v>812</v>
      </c>
      <c r="D492" s="192"/>
      <c r="E492" s="208">
        <v>45847</v>
      </c>
      <c r="F492" s="192" t="s">
        <v>813</v>
      </c>
      <c r="G492" s="209" t="s">
        <v>719</v>
      </c>
      <c r="H492" s="194">
        <v>10000000</v>
      </c>
      <c r="I492" s="224">
        <v>2.5000000000000001E-2</v>
      </c>
      <c r="J492" s="206">
        <f t="shared" si="107"/>
        <v>4.9999999999999973</v>
      </c>
      <c r="K492" s="213">
        <v>36</v>
      </c>
      <c r="L492" s="198">
        <f t="shared" si="105"/>
        <v>0.13888888888888881</v>
      </c>
      <c r="M492" s="194">
        <v>8888888.8888888899</v>
      </c>
      <c r="N492" s="199">
        <f t="shared" si="109"/>
        <v>277777.77777777775</v>
      </c>
      <c r="O492" s="200">
        <f t="shared" si="111"/>
        <v>250000</v>
      </c>
      <c r="P492" s="200">
        <v>10000</v>
      </c>
      <c r="Q492" s="200">
        <f t="shared" si="112"/>
        <v>537777.77777777775</v>
      </c>
      <c r="R492" s="201">
        <f>'[1]NOV''25'!Q501+N492-V492</f>
        <v>0</v>
      </c>
      <c r="S492" s="201">
        <f>'[1]NOV''25'!R501+O492-W492</f>
        <v>0</v>
      </c>
      <c r="T492" s="201">
        <f>'[1]NOV''25'!S501+P492-X492</f>
        <v>0</v>
      </c>
      <c r="U492" s="200">
        <f t="shared" si="104"/>
        <v>0</v>
      </c>
      <c r="V492" s="202">
        <v>277777.77777777798</v>
      </c>
      <c r="W492" s="203">
        <v>250000</v>
      </c>
      <c r="X492" s="203">
        <v>10000</v>
      </c>
      <c r="Y492" s="200">
        <f t="shared" si="110"/>
        <v>537777.77777777798</v>
      </c>
      <c r="Z492" s="207">
        <f t="shared" si="113"/>
        <v>8611111.1111111119</v>
      </c>
      <c r="AA492" s="96"/>
      <c r="AB492" s="96" t="e">
        <f>#REF!-#REF!</f>
        <v>#REF!</v>
      </c>
    </row>
    <row r="493" spans="1:28" s="55" customFormat="1" x14ac:dyDescent="0.3">
      <c r="B493" s="191">
        <v>366</v>
      </c>
      <c r="C493" s="205" t="s">
        <v>814</v>
      </c>
      <c r="D493" s="192"/>
      <c r="E493" s="208">
        <v>45847</v>
      </c>
      <c r="F493" s="192" t="s">
        <v>815</v>
      </c>
      <c r="G493" s="209" t="s">
        <v>298</v>
      </c>
      <c r="H493" s="194">
        <v>8169000</v>
      </c>
      <c r="I493" s="224">
        <v>2.5000000000000001E-2</v>
      </c>
      <c r="J493" s="206">
        <f t="shared" si="107"/>
        <v>5.0000000000000151</v>
      </c>
      <c r="K493" s="213">
        <v>36</v>
      </c>
      <c r="L493" s="198">
        <f t="shared" si="105"/>
        <v>0.13888888888888931</v>
      </c>
      <c r="M493" s="194">
        <v>7261333.3333333302</v>
      </c>
      <c r="N493" s="199">
        <f t="shared" si="109"/>
        <v>226916.66666666666</v>
      </c>
      <c r="O493" s="200">
        <f t="shared" si="111"/>
        <v>204225</v>
      </c>
      <c r="P493" s="200">
        <v>10000</v>
      </c>
      <c r="Q493" s="200">
        <f t="shared" si="112"/>
        <v>441141.66666666663</v>
      </c>
      <c r="R493" s="201">
        <f>'[1]NOV''25'!Q502+N493-V493</f>
        <v>-3.4924596548080444E-10</v>
      </c>
      <c r="S493" s="201">
        <f>'[1]NOV''25'!R502+O493-W493</f>
        <v>0</v>
      </c>
      <c r="T493" s="201">
        <f>'[1]NOV''25'!S502+P493-X493</f>
        <v>0</v>
      </c>
      <c r="U493" s="200">
        <f t="shared" si="104"/>
        <v>-3.4924596548080444E-10</v>
      </c>
      <c r="V493" s="202">
        <v>226916.66666666701</v>
      </c>
      <c r="W493" s="203">
        <v>204225</v>
      </c>
      <c r="X493" s="203">
        <v>10000</v>
      </c>
      <c r="Y493" s="200">
        <f t="shared" si="110"/>
        <v>441141.66666666698</v>
      </c>
      <c r="Z493" s="207">
        <f t="shared" si="113"/>
        <v>7034416.6666666633</v>
      </c>
      <c r="AA493" s="96"/>
      <c r="AB493" s="96" t="e">
        <f>#REF!-#REF!</f>
        <v>#REF!</v>
      </c>
    </row>
    <row r="494" spans="1:28" s="55" customFormat="1" x14ac:dyDescent="0.3">
      <c r="B494" s="191">
        <v>368</v>
      </c>
      <c r="C494" s="205" t="s">
        <v>816</v>
      </c>
      <c r="D494" s="192"/>
      <c r="E494" s="208">
        <v>45852</v>
      </c>
      <c r="F494" s="192" t="s">
        <v>817</v>
      </c>
      <c r="G494" s="209" t="s">
        <v>253</v>
      </c>
      <c r="H494" s="194">
        <v>4491000</v>
      </c>
      <c r="I494" s="224">
        <v>2.5000000000000001E-2</v>
      </c>
      <c r="J494" s="206">
        <f t="shared" si="107"/>
        <v>5</v>
      </c>
      <c r="K494" s="213">
        <v>36</v>
      </c>
      <c r="L494" s="198">
        <f t="shared" si="105"/>
        <v>0.1388888888888889</v>
      </c>
      <c r="M494" s="194">
        <v>3992000</v>
      </c>
      <c r="N494" s="199">
        <f t="shared" si="109"/>
        <v>124750</v>
      </c>
      <c r="O494" s="200">
        <f t="shared" si="111"/>
        <v>112275</v>
      </c>
      <c r="P494" s="200">
        <v>10000</v>
      </c>
      <c r="Q494" s="200">
        <f t="shared" si="112"/>
        <v>247025</v>
      </c>
      <c r="R494" s="201">
        <f>'[1]NOV''25'!Q504+N494-V494</f>
        <v>0</v>
      </c>
      <c r="S494" s="201">
        <f>'[1]NOV''25'!R504+O494-W494</f>
        <v>0</v>
      </c>
      <c r="T494" s="201">
        <f>'[1]NOV''25'!S504+P494-X494</f>
        <v>0</v>
      </c>
      <c r="U494" s="200">
        <f t="shared" si="104"/>
        <v>0</v>
      </c>
      <c r="V494" s="202">
        <v>124750</v>
      </c>
      <c r="W494" s="203">
        <v>112275</v>
      </c>
      <c r="X494" s="203">
        <v>10000</v>
      </c>
      <c r="Y494" s="200">
        <f t="shared" si="110"/>
        <v>247025</v>
      </c>
      <c r="Z494" s="207">
        <f t="shared" si="113"/>
        <v>3867250</v>
      </c>
      <c r="AA494" s="96"/>
      <c r="AB494" s="96" t="e">
        <f>#REF!-#REF!</f>
        <v>#REF!</v>
      </c>
    </row>
    <row r="495" spans="1:28" s="55" customFormat="1" x14ac:dyDescent="0.3">
      <c r="B495" s="191">
        <v>369</v>
      </c>
      <c r="C495" s="205" t="s">
        <v>818</v>
      </c>
      <c r="D495" s="192"/>
      <c r="E495" s="208">
        <v>45853</v>
      </c>
      <c r="F495" s="192" t="s">
        <v>819</v>
      </c>
      <c r="G495" s="209" t="s">
        <v>719</v>
      </c>
      <c r="H495" s="194">
        <v>3099000</v>
      </c>
      <c r="I495" s="224">
        <v>2.5000000000000001E-2</v>
      </c>
      <c r="J495" s="206">
        <f t="shared" si="107"/>
        <v>4.9999999999999662</v>
      </c>
      <c r="K495" s="213">
        <v>36</v>
      </c>
      <c r="L495" s="198">
        <f t="shared" si="105"/>
        <v>0.13888888888888795</v>
      </c>
      <c r="M495" s="194">
        <v>2754666.6666666698</v>
      </c>
      <c r="N495" s="199">
        <f t="shared" si="109"/>
        <v>86083.333333333328</v>
      </c>
      <c r="O495" s="200">
        <f t="shared" si="111"/>
        <v>77475</v>
      </c>
      <c r="P495" s="200">
        <v>10000</v>
      </c>
      <c r="Q495" s="200">
        <f t="shared" si="112"/>
        <v>173558.33333333331</v>
      </c>
      <c r="R495" s="201">
        <f>'[1]NOV''25'!Q505+N495-V495</f>
        <v>0</v>
      </c>
      <c r="S495" s="201">
        <f>'[1]NOV''25'!R505+O495-W495</f>
        <v>0</v>
      </c>
      <c r="T495" s="201">
        <f>'[1]NOV''25'!S505+P495-X495</f>
        <v>0</v>
      </c>
      <c r="U495" s="200">
        <f t="shared" si="104"/>
        <v>0</v>
      </c>
      <c r="V495" s="202">
        <v>86083.333333333299</v>
      </c>
      <c r="W495" s="203">
        <v>77475</v>
      </c>
      <c r="X495" s="203">
        <v>10000</v>
      </c>
      <c r="Y495" s="200">
        <f t="shared" si="110"/>
        <v>173558.33333333331</v>
      </c>
      <c r="Z495" s="207">
        <f t="shared" si="113"/>
        <v>2668583.3333333363</v>
      </c>
      <c r="AA495" s="96"/>
      <c r="AB495" s="96" t="e">
        <f>#REF!-#REF!</f>
        <v>#REF!</v>
      </c>
    </row>
    <row r="496" spans="1:28" s="55" customFormat="1" x14ac:dyDescent="0.3">
      <c r="B496" s="191">
        <v>370</v>
      </c>
      <c r="C496" s="205" t="s">
        <v>820</v>
      </c>
      <c r="D496" s="192"/>
      <c r="E496" s="208">
        <v>45853</v>
      </c>
      <c r="F496" s="192" t="s">
        <v>821</v>
      </c>
      <c r="G496" s="209" t="s">
        <v>719</v>
      </c>
      <c r="H496" s="194">
        <v>7500000</v>
      </c>
      <c r="I496" s="224">
        <v>2.5000000000000001E-2</v>
      </c>
      <c r="J496" s="206">
        <f t="shared" si="107"/>
        <v>4.9999999999999831</v>
      </c>
      <c r="K496" s="213">
        <v>36</v>
      </c>
      <c r="L496" s="198">
        <f t="shared" si="105"/>
        <v>0.13888888888888842</v>
      </c>
      <c r="M496" s="194">
        <v>6666666.6666666698</v>
      </c>
      <c r="N496" s="199">
        <f t="shared" si="109"/>
        <v>208333.33333333334</v>
      </c>
      <c r="O496" s="200">
        <f t="shared" si="111"/>
        <v>187500</v>
      </c>
      <c r="P496" s="200">
        <v>10000</v>
      </c>
      <c r="Q496" s="200">
        <f t="shared" si="112"/>
        <v>405833.33333333337</v>
      </c>
      <c r="R496" s="201">
        <f>'[1]NOV''25'!Q506+N496-V496</f>
        <v>3.4924596548080444E-10</v>
      </c>
      <c r="S496" s="201">
        <f>'[1]NOV''25'!R506+O496-W496</f>
        <v>0</v>
      </c>
      <c r="T496" s="201">
        <f>'[1]NOV''25'!S506+P496-X496</f>
        <v>0</v>
      </c>
      <c r="U496" s="200">
        <f t="shared" si="104"/>
        <v>3.4924596548080444E-10</v>
      </c>
      <c r="V496" s="202">
        <v>208333.33333333299</v>
      </c>
      <c r="W496" s="203">
        <v>187500</v>
      </c>
      <c r="X496" s="203">
        <v>10000</v>
      </c>
      <c r="Y496" s="200">
        <f t="shared" si="110"/>
        <v>405833.33333333302</v>
      </c>
      <c r="Z496" s="207">
        <f t="shared" si="113"/>
        <v>6458333.3333333367</v>
      </c>
      <c r="AA496" s="96"/>
      <c r="AB496" s="96" t="e">
        <f>#REF!-#REF!</f>
        <v>#REF!</v>
      </c>
    </row>
    <row r="497" spans="1:28" s="55" customFormat="1" x14ac:dyDescent="0.3">
      <c r="B497" s="191">
        <v>371</v>
      </c>
      <c r="C497" s="205" t="s">
        <v>822</v>
      </c>
      <c r="D497" s="192"/>
      <c r="E497" s="208">
        <v>45853</v>
      </c>
      <c r="F497" s="192" t="s">
        <v>823</v>
      </c>
      <c r="G497" s="209" t="s">
        <v>824</v>
      </c>
      <c r="H497" s="194">
        <v>7700000</v>
      </c>
      <c r="I497" s="224">
        <v>2.5000000000000001E-2</v>
      </c>
      <c r="J497" s="206">
        <f t="shared" si="107"/>
        <v>5.0000000000000204</v>
      </c>
      <c r="K497" s="213">
        <v>36</v>
      </c>
      <c r="L497" s="198">
        <f t="shared" si="105"/>
        <v>0.13888888888888945</v>
      </c>
      <c r="M497" s="194">
        <v>6844444.4444444403</v>
      </c>
      <c r="N497" s="199">
        <f t="shared" si="109"/>
        <v>213888.88888888888</v>
      </c>
      <c r="O497" s="200">
        <f t="shared" si="111"/>
        <v>192500</v>
      </c>
      <c r="P497" s="200">
        <v>10000</v>
      </c>
      <c r="Q497" s="200">
        <f t="shared" si="112"/>
        <v>416388.88888888888</v>
      </c>
      <c r="R497" s="201">
        <f>'[1]NOV''25'!Q507+N497-V497</f>
        <v>0</v>
      </c>
      <c r="S497" s="201">
        <f>'[1]NOV''25'!R507+O497-W497</f>
        <v>0</v>
      </c>
      <c r="T497" s="201">
        <f>'[1]NOV''25'!S507+P497-X497</f>
        <v>0</v>
      </c>
      <c r="U497" s="200">
        <f t="shared" si="104"/>
        <v>0</v>
      </c>
      <c r="V497" s="202">
        <v>213888.88888888899</v>
      </c>
      <c r="W497" s="203">
        <v>192500</v>
      </c>
      <c r="X497" s="203">
        <v>10000</v>
      </c>
      <c r="Y497" s="200">
        <f t="shared" si="110"/>
        <v>416388.88888888899</v>
      </c>
      <c r="Z497" s="207">
        <f t="shared" si="113"/>
        <v>6630555.5555555513</v>
      </c>
      <c r="AA497" s="96"/>
      <c r="AB497" s="96" t="e">
        <f>#REF!-#REF!</f>
        <v>#REF!</v>
      </c>
    </row>
    <row r="498" spans="1:28" s="55" customFormat="1" x14ac:dyDescent="0.3">
      <c r="B498" s="191">
        <v>372</v>
      </c>
      <c r="C498" s="205" t="s">
        <v>825</v>
      </c>
      <c r="D498" s="192"/>
      <c r="E498" s="208">
        <v>45853</v>
      </c>
      <c r="F498" s="192" t="s">
        <v>826</v>
      </c>
      <c r="G498" s="209" t="s">
        <v>824</v>
      </c>
      <c r="H498" s="194">
        <v>10750000</v>
      </c>
      <c r="I498" s="224">
        <v>2.5000000000000001E-2</v>
      </c>
      <c r="J498" s="206">
        <f t="shared" si="107"/>
        <v>5.0000000000000133</v>
      </c>
      <c r="K498" s="213">
        <v>36</v>
      </c>
      <c r="L498" s="198">
        <f t="shared" si="105"/>
        <v>0.13888888888888926</v>
      </c>
      <c r="M498" s="194">
        <v>9555555.5555555504</v>
      </c>
      <c r="N498" s="199">
        <f t="shared" si="109"/>
        <v>298611.11111111112</v>
      </c>
      <c r="O498" s="200">
        <f t="shared" si="111"/>
        <v>268750</v>
      </c>
      <c r="P498" s="200">
        <v>10000</v>
      </c>
      <c r="Q498" s="200">
        <f t="shared" si="112"/>
        <v>577361.11111111112</v>
      </c>
      <c r="R498" s="201">
        <f>'[1]NOV''25'!Q508+N498-V498</f>
        <v>0</v>
      </c>
      <c r="S498" s="201">
        <f>'[1]NOV''25'!R508+O498-W498</f>
        <v>0</v>
      </c>
      <c r="T498" s="201">
        <f>'[1]NOV''25'!S508+P498-X498</f>
        <v>0</v>
      </c>
      <c r="U498" s="200">
        <f t="shared" si="104"/>
        <v>0</v>
      </c>
      <c r="V498" s="202">
        <v>298611.11111111101</v>
      </c>
      <c r="W498" s="203">
        <v>268750</v>
      </c>
      <c r="X498" s="203">
        <v>10000</v>
      </c>
      <c r="Y498" s="200">
        <f t="shared" si="110"/>
        <v>577361.11111111101</v>
      </c>
      <c r="Z498" s="207">
        <f t="shared" si="113"/>
        <v>9256944.4444444403</v>
      </c>
      <c r="AA498" s="96"/>
      <c r="AB498" s="96" t="e">
        <f>#REF!-#REF!</f>
        <v>#REF!</v>
      </c>
    </row>
    <row r="499" spans="1:28" s="55" customFormat="1" x14ac:dyDescent="0.3">
      <c r="B499" s="191">
        <v>373</v>
      </c>
      <c r="C499" s="205" t="s">
        <v>827</v>
      </c>
      <c r="D499" s="192"/>
      <c r="E499" s="208">
        <v>45855</v>
      </c>
      <c r="F499" s="192" t="s">
        <v>828</v>
      </c>
      <c r="G499" s="209" t="s">
        <v>829</v>
      </c>
      <c r="H499" s="194">
        <v>10641000</v>
      </c>
      <c r="I499" s="224">
        <v>2.5000000000000001E-2</v>
      </c>
      <c r="J499" s="206">
        <f t="shared" si="107"/>
        <v>5.0000000000000169</v>
      </c>
      <c r="K499" s="213">
        <v>36</v>
      </c>
      <c r="L499" s="198">
        <f t="shared" si="105"/>
        <v>0.13888888888888937</v>
      </c>
      <c r="M499" s="194">
        <v>9458666.6666666605</v>
      </c>
      <c r="N499" s="199">
        <f t="shared" si="109"/>
        <v>295583.33333333331</v>
      </c>
      <c r="O499" s="200">
        <f t="shared" si="111"/>
        <v>266025</v>
      </c>
      <c r="P499" s="200">
        <v>10000</v>
      </c>
      <c r="Q499" s="200">
        <f t="shared" si="112"/>
        <v>571608.33333333326</v>
      </c>
      <c r="R499" s="201">
        <f>'[1]NOV''25'!Q509+N499-V499</f>
        <v>0</v>
      </c>
      <c r="S499" s="201">
        <f>'[1]NOV''25'!R509+O499-W499</f>
        <v>0</v>
      </c>
      <c r="T499" s="201">
        <f>'[1]NOV''25'!S509+P499-X499</f>
        <v>0</v>
      </c>
      <c r="U499" s="200">
        <f t="shared" si="104"/>
        <v>0</v>
      </c>
      <c r="V499" s="202">
        <v>295583.33333333302</v>
      </c>
      <c r="W499" s="203">
        <v>266025</v>
      </c>
      <c r="X499" s="203">
        <v>10000</v>
      </c>
      <c r="Y499" s="200">
        <f t="shared" si="110"/>
        <v>571608.33333333302</v>
      </c>
      <c r="Z499" s="207">
        <f t="shared" si="113"/>
        <v>9163083.3333333284</v>
      </c>
      <c r="AA499" s="96"/>
      <c r="AB499" s="96" t="e">
        <f>#REF!-#REF!</f>
        <v>#REF!</v>
      </c>
    </row>
    <row r="500" spans="1:28" s="290" customFormat="1" x14ac:dyDescent="0.3">
      <c r="A500" s="55"/>
      <c r="B500" s="191">
        <v>374</v>
      </c>
      <c r="C500" s="277" t="s">
        <v>830</v>
      </c>
      <c r="D500" s="278"/>
      <c r="E500" s="279">
        <v>45856</v>
      </c>
      <c r="F500" s="278" t="s">
        <v>190</v>
      </c>
      <c r="G500" s="280" t="s">
        <v>824</v>
      </c>
      <c r="H500" s="281">
        <v>15600000</v>
      </c>
      <c r="I500" s="282">
        <v>2.5000000000000001E-2</v>
      </c>
      <c r="J500" s="206">
        <f t="shared" si="107"/>
        <v>4.9999999999999254</v>
      </c>
      <c r="K500" s="283">
        <v>36</v>
      </c>
      <c r="L500" s="284">
        <f t="shared" si="105"/>
        <v>0.13888888888888681</v>
      </c>
      <c r="M500" s="194">
        <v>13866666.6666667</v>
      </c>
      <c r="N500" s="285">
        <f t="shared" si="109"/>
        <v>433333.33333333331</v>
      </c>
      <c r="O500" s="286">
        <f t="shared" si="111"/>
        <v>390000</v>
      </c>
      <c r="P500" s="286">
        <v>10000</v>
      </c>
      <c r="Q500" s="286">
        <f t="shared" si="112"/>
        <v>833333.33333333326</v>
      </c>
      <c r="R500" s="201">
        <f>'[1]NOV''25'!Q510+N500-V500</f>
        <v>0</v>
      </c>
      <c r="S500" s="201">
        <f>'[1]NOV''25'!R510+O500-W500</f>
        <v>0</v>
      </c>
      <c r="T500" s="201">
        <f>'[1]NOV''25'!S510+P500-X500</f>
        <v>0</v>
      </c>
      <c r="U500" s="200">
        <f t="shared" si="104"/>
        <v>0</v>
      </c>
      <c r="V500" s="287">
        <v>433333.33333333302</v>
      </c>
      <c r="W500" s="288">
        <v>390000</v>
      </c>
      <c r="X500" s="288">
        <v>10000</v>
      </c>
      <c r="Y500" s="200">
        <f t="shared" si="110"/>
        <v>833333.33333333302</v>
      </c>
      <c r="Z500" s="289">
        <f t="shared" si="113"/>
        <v>13433333.333333366</v>
      </c>
      <c r="AA500" s="96"/>
      <c r="AB500" s="96" t="e">
        <f>#REF!-#REF!</f>
        <v>#REF!</v>
      </c>
    </row>
    <row r="501" spans="1:28" s="55" customFormat="1" x14ac:dyDescent="0.3">
      <c r="B501" s="191">
        <v>375</v>
      </c>
      <c r="C501" s="205" t="s">
        <v>831</v>
      </c>
      <c r="D501" s="192"/>
      <c r="E501" s="208">
        <v>45856</v>
      </c>
      <c r="F501" s="192" t="s">
        <v>832</v>
      </c>
      <c r="G501" s="209" t="s">
        <v>253</v>
      </c>
      <c r="H501" s="194">
        <v>5000000</v>
      </c>
      <c r="I501" s="224">
        <v>2.5000000000000001E-2</v>
      </c>
      <c r="J501" s="206">
        <f t="shared" si="107"/>
        <v>5.0000000000000311</v>
      </c>
      <c r="K501" s="213">
        <v>36</v>
      </c>
      <c r="L501" s="198">
        <f t="shared" si="105"/>
        <v>0.13888888888888976</v>
      </c>
      <c r="M501" s="194">
        <v>4444444.4444444403</v>
      </c>
      <c r="N501" s="199">
        <f t="shared" si="109"/>
        <v>138888.88888888888</v>
      </c>
      <c r="O501" s="200">
        <f t="shared" si="111"/>
        <v>125000</v>
      </c>
      <c r="P501" s="200">
        <v>10000</v>
      </c>
      <c r="Q501" s="200">
        <f t="shared" si="112"/>
        <v>273888.88888888888</v>
      </c>
      <c r="R501" s="201">
        <f>'[1]NOV''25'!Q511+N501-V501</f>
        <v>0</v>
      </c>
      <c r="S501" s="201">
        <f>'[1]NOV''25'!R511+O501-W501</f>
        <v>0</v>
      </c>
      <c r="T501" s="201">
        <f>'[1]NOV''25'!S511+P501-X501</f>
        <v>0</v>
      </c>
      <c r="U501" s="200">
        <f t="shared" si="104"/>
        <v>0</v>
      </c>
      <c r="V501" s="202">
        <v>138888.88888888899</v>
      </c>
      <c r="W501" s="203">
        <v>125000</v>
      </c>
      <c r="X501" s="203">
        <v>10000</v>
      </c>
      <c r="Y501" s="200">
        <f t="shared" si="110"/>
        <v>273888.88888888899</v>
      </c>
      <c r="Z501" s="207">
        <f t="shared" si="113"/>
        <v>4305555.5555555513</v>
      </c>
      <c r="AA501" s="96"/>
      <c r="AB501" s="96" t="e">
        <f>#REF!-#REF!</f>
        <v>#REF!</v>
      </c>
    </row>
    <row r="502" spans="1:28" s="55" customFormat="1" x14ac:dyDescent="0.3">
      <c r="B502" s="191">
        <v>376</v>
      </c>
      <c r="C502" s="205" t="s">
        <v>833</v>
      </c>
      <c r="D502" s="192"/>
      <c r="E502" s="208">
        <v>45859</v>
      </c>
      <c r="F502" s="192" t="s">
        <v>834</v>
      </c>
      <c r="G502" s="209" t="s">
        <v>811</v>
      </c>
      <c r="H502" s="194">
        <v>7800000</v>
      </c>
      <c r="I502" s="224">
        <v>2.5000000000000001E-2</v>
      </c>
      <c r="J502" s="206">
        <f t="shared" si="107"/>
        <v>5.000000000000016</v>
      </c>
      <c r="K502" s="213">
        <v>36</v>
      </c>
      <c r="L502" s="198">
        <f t="shared" si="105"/>
        <v>0.13888888888888934</v>
      </c>
      <c r="M502" s="194">
        <v>6933333.3333333302</v>
      </c>
      <c r="N502" s="199">
        <f t="shared" si="109"/>
        <v>216666.66666666666</v>
      </c>
      <c r="O502" s="200">
        <f t="shared" si="111"/>
        <v>195000</v>
      </c>
      <c r="P502" s="200">
        <v>10000</v>
      </c>
      <c r="Q502" s="200">
        <f t="shared" si="112"/>
        <v>421666.66666666663</v>
      </c>
      <c r="R502" s="201">
        <f>'[1]NOV''25'!Q512+N502-V502</f>
        <v>-3.4924596548080444E-10</v>
      </c>
      <c r="S502" s="201">
        <f>'[1]NOV''25'!R512+O502-W502</f>
        <v>0</v>
      </c>
      <c r="T502" s="201">
        <f>'[1]NOV''25'!S512+P502-X502</f>
        <v>0</v>
      </c>
      <c r="U502" s="200">
        <f t="shared" si="104"/>
        <v>-3.4924596548080444E-10</v>
      </c>
      <c r="V502" s="202">
        <v>216666.66666666701</v>
      </c>
      <c r="W502" s="203">
        <v>195000</v>
      </c>
      <c r="X502" s="203">
        <v>10000</v>
      </c>
      <c r="Y502" s="200">
        <f t="shared" si="110"/>
        <v>421666.66666666698</v>
      </c>
      <c r="Z502" s="207">
        <f t="shared" si="113"/>
        <v>6716666.6666666633</v>
      </c>
      <c r="AA502" s="96"/>
      <c r="AB502" s="96" t="e">
        <f>#REF!-#REF!</f>
        <v>#REF!</v>
      </c>
    </row>
    <row r="503" spans="1:28" s="55" customFormat="1" x14ac:dyDescent="0.3">
      <c r="B503" s="191">
        <v>377</v>
      </c>
      <c r="C503" s="205" t="s">
        <v>801</v>
      </c>
      <c r="D503" s="192"/>
      <c r="E503" s="208">
        <v>45860</v>
      </c>
      <c r="F503" s="192" t="s">
        <v>835</v>
      </c>
      <c r="G503" s="209" t="s">
        <v>298</v>
      </c>
      <c r="H503" s="194">
        <v>5400000</v>
      </c>
      <c r="I503" s="224">
        <v>2.5000000000000001E-2</v>
      </c>
      <c r="J503" s="206">
        <f t="shared" si="107"/>
        <v>5</v>
      </c>
      <c r="K503" s="213">
        <v>36</v>
      </c>
      <c r="L503" s="198">
        <f t="shared" si="105"/>
        <v>0.1388888888888889</v>
      </c>
      <c r="M503" s="194">
        <v>4800000</v>
      </c>
      <c r="N503" s="199">
        <f t="shared" si="109"/>
        <v>150000</v>
      </c>
      <c r="O503" s="200">
        <f t="shared" si="111"/>
        <v>135000</v>
      </c>
      <c r="P503" s="200">
        <v>10000</v>
      </c>
      <c r="Q503" s="200">
        <f t="shared" si="112"/>
        <v>295000</v>
      </c>
      <c r="R503" s="201">
        <f>'[1]NOV''25'!Q513+N503-V503</f>
        <v>0</v>
      </c>
      <c r="S503" s="201">
        <f>'[1]NOV''25'!R513+O503-W503</f>
        <v>0</v>
      </c>
      <c r="T503" s="201">
        <f>'[1]NOV''25'!S513+P503-X503</f>
        <v>0</v>
      </c>
      <c r="U503" s="200">
        <f t="shared" si="104"/>
        <v>0</v>
      </c>
      <c r="V503" s="202">
        <v>150000</v>
      </c>
      <c r="W503" s="203">
        <v>135000</v>
      </c>
      <c r="X503" s="203">
        <v>10000</v>
      </c>
      <c r="Y503" s="200">
        <f t="shared" si="110"/>
        <v>295000</v>
      </c>
      <c r="Z503" s="207">
        <f t="shared" si="113"/>
        <v>4650000</v>
      </c>
      <c r="AA503" s="96"/>
      <c r="AB503" s="96" t="e">
        <f>#REF!-#REF!</f>
        <v>#REF!</v>
      </c>
    </row>
    <row r="504" spans="1:28" s="55" customFormat="1" x14ac:dyDescent="0.3">
      <c r="B504" s="191">
        <v>378</v>
      </c>
      <c r="C504" s="205" t="s">
        <v>836</v>
      </c>
      <c r="D504" s="192"/>
      <c r="E504" s="208">
        <v>45860</v>
      </c>
      <c r="F504" s="192" t="s">
        <v>837</v>
      </c>
      <c r="G504" s="209" t="s">
        <v>838</v>
      </c>
      <c r="H504" s="194">
        <v>6163000</v>
      </c>
      <c r="I504" s="224">
        <v>2.5000000000000001E-2</v>
      </c>
      <c r="J504" s="206">
        <f t="shared" si="107"/>
        <v>5.0000000000000098</v>
      </c>
      <c r="K504" s="213">
        <v>36</v>
      </c>
      <c r="L504" s="198">
        <f t="shared" si="105"/>
        <v>0.13888888888888917</v>
      </c>
      <c r="M504" s="194">
        <v>5478222.2222222202</v>
      </c>
      <c r="N504" s="199">
        <f t="shared" si="109"/>
        <v>171194.44444444444</v>
      </c>
      <c r="O504" s="200">
        <f t="shared" si="111"/>
        <v>154075</v>
      </c>
      <c r="P504" s="200">
        <v>10000</v>
      </c>
      <c r="Q504" s="200">
        <f t="shared" si="112"/>
        <v>335269.44444444444</v>
      </c>
      <c r="R504" s="201">
        <f>'[1]NOV''25'!Q514+N504-V504</f>
        <v>4.3655745685100555E-10</v>
      </c>
      <c r="S504" s="201">
        <f>'[1]NOV''25'!R514+O504-W504</f>
        <v>0</v>
      </c>
      <c r="T504" s="201">
        <f>'[1]NOV''25'!S514+P504-X504</f>
        <v>0</v>
      </c>
      <c r="U504" s="200">
        <f t="shared" si="104"/>
        <v>4.3655745685100555E-10</v>
      </c>
      <c r="V504" s="202">
        <v>171194.444444444</v>
      </c>
      <c r="W504" s="203">
        <v>154075</v>
      </c>
      <c r="X504" s="203">
        <v>10000</v>
      </c>
      <c r="Y504" s="200">
        <f t="shared" si="110"/>
        <v>335269.44444444403</v>
      </c>
      <c r="Z504" s="207">
        <f t="shared" si="113"/>
        <v>5307027.7777777761</v>
      </c>
      <c r="AA504" s="96"/>
      <c r="AB504" s="96" t="e">
        <f>#REF!-#REF!</f>
        <v>#REF!</v>
      </c>
    </row>
    <row r="505" spans="1:28" s="55" customFormat="1" x14ac:dyDescent="0.3">
      <c r="B505" s="191">
        <v>379</v>
      </c>
      <c r="C505" s="205" t="s">
        <v>839</v>
      </c>
      <c r="D505" s="192"/>
      <c r="E505" s="208">
        <v>45866</v>
      </c>
      <c r="F505" s="192" t="s">
        <v>840</v>
      </c>
      <c r="G505" s="209" t="s">
        <v>701</v>
      </c>
      <c r="H505" s="194">
        <v>11290000</v>
      </c>
      <c r="I505" s="224">
        <v>2.5000000000000001E-2</v>
      </c>
      <c r="J505" s="206">
        <f t="shared" si="107"/>
        <v>4.9999999999998588</v>
      </c>
      <c r="K505" s="213">
        <v>36</v>
      </c>
      <c r="L505" s="198">
        <f t="shared" si="105"/>
        <v>0.13888888888888495</v>
      </c>
      <c r="M505" s="194">
        <v>10035555.555555601</v>
      </c>
      <c r="N505" s="199">
        <f t="shared" si="109"/>
        <v>313611.11111111112</v>
      </c>
      <c r="O505" s="200">
        <f t="shared" si="111"/>
        <v>282250</v>
      </c>
      <c r="P505" s="200">
        <v>10000</v>
      </c>
      <c r="Q505" s="200">
        <f t="shared" si="112"/>
        <v>605861.11111111112</v>
      </c>
      <c r="R505" s="201">
        <f>'[1]NOV''25'!Q515+N505-V505</f>
        <v>0</v>
      </c>
      <c r="S505" s="201">
        <f>'[1]NOV''25'!R515+O505-W505</f>
        <v>0</v>
      </c>
      <c r="T505" s="201">
        <f>'[1]NOV''25'!S515+P505-X505</f>
        <v>0</v>
      </c>
      <c r="U505" s="200">
        <f t="shared" si="104"/>
        <v>0</v>
      </c>
      <c r="V505" s="202">
        <v>313611.11111111101</v>
      </c>
      <c r="W505" s="203">
        <v>282250</v>
      </c>
      <c r="X505" s="203">
        <v>10000</v>
      </c>
      <c r="Y505" s="200">
        <f t="shared" si="110"/>
        <v>605861.11111111101</v>
      </c>
      <c r="Z505" s="207">
        <f t="shared" si="113"/>
        <v>9721944.4444444887</v>
      </c>
      <c r="AA505" s="96"/>
      <c r="AB505" s="96" t="e">
        <f>#REF!-#REF!</f>
        <v>#REF!</v>
      </c>
    </row>
    <row r="506" spans="1:28" s="55" customFormat="1" x14ac:dyDescent="0.3">
      <c r="B506" s="191">
        <v>380</v>
      </c>
      <c r="C506" s="205" t="s">
        <v>841</v>
      </c>
      <c r="D506" s="192"/>
      <c r="E506" s="208">
        <v>45869</v>
      </c>
      <c r="F506" s="192" t="s">
        <v>842</v>
      </c>
      <c r="G506" s="209" t="s">
        <v>843</v>
      </c>
      <c r="H506" s="194">
        <v>2000000</v>
      </c>
      <c r="I506" s="224">
        <v>2.5000000000000001E-2</v>
      </c>
      <c r="J506" s="206">
        <f t="shared" si="107"/>
        <v>4.9999999999999574</v>
      </c>
      <c r="K506" s="213">
        <v>36</v>
      </c>
      <c r="L506" s="198">
        <f t="shared" si="105"/>
        <v>0.1388888888888877</v>
      </c>
      <c r="M506" s="194">
        <v>1777777.7777777801</v>
      </c>
      <c r="N506" s="199">
        <f t="shared" si="109"/>
        <v>55555.555555555555</v>
      </c>
      <c r="O506" s="200">
        <f t="shared" si="111"/>
        <v>50000</v>
      </c>
      <c r="P506" s="200">
        <v>10000</v>
      </c>
      <c r="Q506" s="200">
        <f t="shared" si="112"/>
        <v>115555.55555555556</v>
      </c>
      <c r="R506" s="201">
        <f>'[1]NOV''25'!Q516+N506-V506</f>
        <v>0</v>
      </c>
      <c r="S506" s="201">
        <f>'[1]NOV''25'!R516+O506-W506</f>
        <v>0</v>
      </c>
      <c r="T506" s="201">
        <f>'[1]NOV''25'!S516+P506-X506</f>
        <v>0</v>
      </c>
      <c r="U506" s="200">
        <f t="shared" si="104"/>
        <v>0</v>
      </c>
      <c r="V506" s="202">
        <v>55555.555555555598</v>
      </c>
      <c r="W506" s="203">
        <v>50000</v>
      </c>
      <c r="X506" s="203">
        <v>10000</v>
      </c>
      <c r="Y506" s="200">
        <f t="shared" si="110"/>
        <v>115555.55555555559</v>
      </c>
      <c r="Z506" s="207">
        <f t="shared" si="113"/>
        <v>1722222.2222222246</v>
      </c>
      <c r="AA506" s="96"/>
      <c r="AB506" s="96" t="e">
        <f>#REF!-#REF!</f>
        <v>#REF!</v>
      </c>
    </row>
    <row r="507" spans="1:28" s="265" customFormat="1" x14ac:dyDescent="0.3">
      <c r="B507" s="250">
        <v>381</v>
      </c>
      <c r="C507" s="273" t="s">
        <v>801</v>
      </c>
      <c r="D507" s="251"/>
      <c r="E507" s="252">
        <v>45870</v>
      </c>
      <c r="F507" s="251" t="s">
        <v>844</v>
      </c>
      <c r="G507" s="253" t="s">
        <v>298</v>
      </c>
      <c r="H507" s="254">
        <v>8475000</v>
      </c>
      <c r="I507" s="255">
        <v>2.5000000000000001E-2</v>
      </c>
      <c r="J507" s="256">
        <f t="shared" si="107"/>
        <v>4.0000000000000018</v>
      </c>
      <c r="K507" s="267">
        <v>36</v>
      </c>
      <c r="L507" s="258">
        <f t="shared" si="105"/>
        <v>0.11111111111111116</v>
      </c>
      <c r="M507" s="194">
        <v>7768750</v>
      </c>
      <c r="N507" s="259">
        <f t="shared" si="109"/>
        <v>235416.66666666666</v>
      </c>
      <c r="O507" s="260">
        <f t="shared" si="111"/>
        <v>211875</v>
      </c>
      <c r="P507" s="260">
        <v>10000</v>
      </c>
      <c r="Q507" s="260">
        <f t="shared" si="112"/>
        <v>457291.66666666663</v>
      </c>
      <c r="R507" s="201">
        <f>'[1]NOV''25'!Q517+N507-V507</f>
        <v>-3.4924596548080444E-10</v>
      </c>
      <c r="S507" s="201">
        <f>'[1]NOV''25'!R517+O507-W507</f>
        <v>0</v>
      </c>
      <c r="T507" s="201">
        <f>'[1]NOV''25'!S517+P507-X507</f>
        <v>0</v>
      </c>
      <c r="U507" s="200">
        <f t="shared" si="104"/>
        <v>-3.4924596548080444E-10</v>
      </c>
      <c r="V507" s="261">
        <v>235416.66666666701</v>
      </c>
      <c r="W507" s="262">
        <v>211875</v>
      </c>
      <c r="X507" s="262">
        <v>10000</v>
      </c>
      <c r="Y507" s="200">
        <f t="shared" si="110"/>
        <v>457291.66666666698</v>
      </c>
      <c r="Z507" s="263">
        <f t="shared" si="113"/>
        <v>7533333.333333333</v>
      </c>
      <c r="AA507" s="96" t="s">
        <v>547</v>
      </c>
      <c r="AB507" s="96" t="e">
        <f>#REF!-#REF!</f>
        <v>#REF!</v>
      </c>
    </row>
    <row r="508" spans="1:28" s="55" customFormat="1" x14ac:dyDescent="0.3">
      <c r="B508" s="191">
        <v>382</v>
      </c>
      <c r="C508" s="205" t="s">
        <v>845</v>
      </c>
      <c r="D508" s="192"/>
      <c r="E508" s="208">
        <v>45873</v>
      </c>
      <c r="F508" s="192" t="s">
        <v>846</v>
      </c>
      <c r="G508" s="209" t="s">
        <v>847</v>
      </c>
      <c r="H508" s="194">
        <v>11500000</v>
      </c>
      <c r="I508" s="224">
        <v>2.5000000000000001E-2</v>
      </c>
      <c r="J508" s="206">
        <f t="shared" si="107"/>
        <v>3.9999999999998956</v>
      </c>
      <c r="K508" s="213">
        <v>36</v>
      </c>
      <c r="L508" s="198">
        <f t="shared" si="105"/>
        <v>0.11111111111110822</v>
      </c>
      <c r="M508" s="194">
        <v>10541666.6666667</v>
      </c>
      <c r="N508" s="199">
        <f t="shared" si="109"/>
        <v>319444.44444444444</v>
      </c>
      <c r="O508" s="200">
        <f t="shared" si="111"/>
        <v>287500</v>
      </c>
      <c r="P508" s="200">
        <v>10000</v>
      </c>
      <c r="Q508" s="200">
        <f t="shared" si="112"/>
        <v>616944.4444444445</v>
      </c>
      <c r="R508" s="201">
        <f>'[1]NOV''25'!Q518+N508-V508</f>
        <v>4.6566128730773926E-10</v>
      </c>
      <c r="S508" s="201">
        <f>'[1]NOV''25'!R518+O508-W508</f>
        <v>0</v>
      </c>
      <c r="T508" s="201">
        <f>'[1]NOV''25'!S518+P508-X508</f>
        <v>0</v>
      </c>
      <c r="U508" s="200">
        <f t="shared" si="104"/>
        <v>4.6566128730773926E-10</v>
      </c>
      <c r="V508" s="202">
        <v>319444.44444444397</v>
      </c>
      <c r="W508" s="203">
        <v>287500</v>
      </c>
      <c r="X508" s="203">
        <v>10000</v>
      </c>
      <c r="Y508" s="200">
        <f t="shared" si="110"/>
        <v>616944.44444444403</v>
      </c>
      <c r="Z508" s="207">
        <f t="shared" si="113"/>
        <v>10222222.222222256</v>
      </c>
      <c r="AA508" s="96"/>
      <c r="AB508" s="96" t="e">
        <f>#REF!-#REF!</f>
        <v>#REF!</v>
      </c>
    </row>
    <row r="509" spans="1:28" s="55" customFormat="1" x14ac:dyDescent="0.3">
      <c r="B509" s="191">
        <v>383</v>
      </c>
      <c r="C509" s="205" t="s">
        <v>848</v>
      </c>
      <c r="D509" s="192"/>
      <c r="E509" s="208">
        <v>45873</v>
      </c>
      <c r="F509" s="192" t="s">
        <v>849</v>
      </c>
      <c r="G509" s="209" t="s">
        <v>850</v>
      </c>
      <c r="H509" s="194">
        <v>8900000</v>
      </c>
      <c r="I509" s="224">
        <v>2.5000000000000001E-2</v>
      </c>
      <c r="J509" s="206">
        <f t="shared" si="107"/>
        <v>4.0000000000000115</v>
      </c>
      <c r="K509" s="213">
        <v>36</v>
      </c>
      <c r="L509" s="198">
        <f t="shared" si="105"/>
        <v>0.11111111111111144</v>
      </c>
      <c r="M509" s="194">
        <v>8158333.3333333302</v>
      </c>
      <c r="N509" s="199">
        <f t="shared" si="109"/>
        <v>247222.22222222222</v>
      </c>
      <c r="O509" s="200">
        <f t="shared" si="111"/>
        <v>222500</v>
      </c>
      <c r="P509" s="200">
        <v>10000</v>
      </c>
      <c r="Q509" s="200">
        <f t="shared" si="112"/>
        <v>479722.22222222225</v>
      </c>
      <c r="R509" s="201">
        <f>'[1]NOV''25'!Q519+N509-V509</f>
        <v>2.3283064365386963E-10</v>
      </c>
      <c r="S509" s="201">
        <f>'[1]NOV''25'!R519+O509-W509</f>
        <v>0</v>
      </c>
      <c r="T509" s="201">
        <f>'[1]NOV''25'!S519+P509-X509</f>
        <v>0</v>
      </c>
      <c r="U509" s="200">
        <f t="shared" si="104"/>
        <v>2.3283064365386963E-10</v>
      </c>
      <c r="V509" s="202">
        <v>247222.22222222199</v>
      </c>
      <c r="W509" s="203">
        <v>222500</v>
      </c>
      <c r="X509" s="203">
        <v>10000</v>
      </c>
      <c r="Y509" s="200">
        <f t="shared" si="110"/>
        <v>479722.22222222202</v>
      </c>
      <c r="Z509" s="207">
        <f t="shared" si="113"/>
        <v>7911111.1111111082</v>
      </c>
      <c r="AA509" s="96"/>
      <c r="AB509" s="96" t="e">
        <f>#REF!-#REF!</f>
        <v>#REF!</v>
      </c>
    </row>
    <row r="510" spans="1:28" s="55" customFormat="1" x14ac:dyDescent="0.3">
      <c r="B510" s="191">
        <v>384</v>
      </c>
      <c r="C510" s="205" t="s">
        <v>851</v>
      </c>
      <c r="D510" s="192"/>
      <c r="E510" s="208">
        <v>45874</v>
      </c>
      <c r="F510" s="192" t="s">
        <v>852</v>
      </c>
      <c r="G510" s="209" t="s">
        <v>853</v>
      </c>
      <c r="H510" s="194">
        <v>11600000</v>
      </c>
      <c r="I510" s="224">
        <v>2.5000000000000001E-2</v>
      </c>
      <c r="J510" s="206">
        <f t="shared" si="107"/>
        <v>4.0000000000001013</v>
      </c>
      <c r="K510" s="213">
        <v>36</v>
      </c>
      <c r="L510" s="198">
        <f t="shared" si="105"/>
        <v>0.11111111111111392</v>
      </c>
      <c r="M510" s="194">
        <v>10633333.3333333</v>
      </c>
      <c r="N510" s="199">
        <f t="shared" si="109"/>
        <v>322222.22222222225</v>
      </c>
      <c r="O510" s="200">
        <f t="shared" si="111"/>
        <v>290000</v>
      </c>
      <c r="P510" s="200">
        <v>10000</v>
      </c>
      <c r="Q510" s="200">
        <f t="shared" si="112"/>
        <v>622222.22222222225</v>
      </c>
      <c r="R510" s="201">
        <f>'[1]NOV''25'!Q520+N510-V510</f>
        <v>0</v>
      </c>
      <c r="S510" s="201">
        <f>'[1]NOV''25'!R520+O510-W510</f>
        <v>0</v>
      </c>
      <c r="T510" s="201">
        <f>'[1]NOV''25'!S520+P510-X510</f>
        <v>0</v>
      </c>
      <c r="U510" s="200">
        <f t="shared" si="104"/>
        <v>0</v>
      </c>
      <c r="V510" s="202">
        <v>322222.22222222202</v>
      </c>
      <c r="W510" s="203">
        <v>290000</v>
      </c>
      <c r="X510" s="203">
        <v>10000</v>
      </c>
      <c r="Y510" s="200">
        <f t="shared" si="110"/>
        <v>622222.22222222202</v>
      </c>
      <c r="Z510" s="207">
        <f t="shared" si="113"/>
        <v>10311111.111111078</v>
      </c>
      <c r="AA510" s="96"/>
      <c r="AB510" s="96" t="e">
        <f>#REF!-#REF!</f>
        <v>#REF!</v>
      </c>
    </row>
    <row r="511" spans="1:28" s="190" customFormat="1" x14ac:dyDescent="0.3">
      <c r="A511" s="55"/>
      <c r="B511" s="191">
        <v>385</v>
      </c>
      <c r="C511" s="227" t="s">
        <v>854</v>
      </c>
      <c r="D511" s="228"/>
      <c r="E511" s="229">
        <v>45874</v>
      </c>
      <c r="F511" s="228" t="s">
        <v>200</v>
      </c>
      <c r="G511" s="230" t="s">
        <v>855</v>
      </c>
      <c r="H511" s="231">
        <v>7000000</v>
      </c>
      <c r="I511" s="232">
        <v>2.5000000000000001E-2</v>
      </c>
      <c r="J511" s="291">
        <f t="shared" si="107"/>
        <v>3.9999999999999822</v>
      </c>
      <c r="K511" s="233">
        <v>36</v>
      </c>
      <c r="L511" s="189">
        <f t="shared" si="105"/>
        <v>0.11111111111111062</v>
      </c>
      <c r="M511" s="194">
        <v>6416666.6666666698</v>
      </c>
      <c r="N511" s="234">
        <f t="shared" si="109"/>
        <v>194444.44444444444</v>
      </c>
      <c r="O511" s="235">
        <f t="shared" si="111"/>
        <v>175000</v>
      </c>
      <c r="P511" s="235">
        <v>10000</v>
      </c>
      <c r="Q511" s="235">
        <f t="shared" si="112"/>
        <v>379444.44444444444</v>
      </c>
      <c r="R511" s="201">
        <f>'[1]NOV''25'!Q521+N511-V511</f>
        <v>4.3655745685100555E-10</v>
      </c>
      <c r="S511" s="201">
        <f>'[1]NOV''25'!R521+O511-W511</f>
        <v>0</v>
      </c>
      <c r="T511" s="201">
        <f>'[1]NOV''25'!S521+P511-X511</f>
        <v>0</v>
      </c>
      <c r="U511" s="200">
        <f t="shared" si="104"/>
        <v>4.3655745685100555E-10</v>
      </c>
      <c r="V511" s="236">
        <v>194444.444444444</v>
      </c>
      <c r="W511" s="237">
        <v>175000</v>
      </c>
      <c r="X511" s="237">
        <v>10000</v>
      </c>
      <c r="Y511" s="200">
        <f t="shared" si="110"/>
        <v>379444.44444444403</v>
      </c>
      <c r="Z511" s="238">
        <f t="shared" si="113"/>
        <v>6222222.2222222257</v>
      </c>
      <c r="AA511" s="96"/>
      <c r="AB511" s="96" t="e">
        <f>#REF!-#REF!</f>
        <v>#REF!</v>
      </c>
    </row>
    <row r="512" spans="1:28" s="55" customFormat="1" x14ac:dyDescent="0.3">
      <c r="B512" s="191">
        <v>386</v>
      </c>
      <c r="C512" s="205" t="s">
        <v>856</v>
      </c>
      <c r="D512" s="192"/>
      <c r="E512" s="208">
        <v>45875</v>
      </c>
      <c r="F512" s="192" t="s">
        <v>857</v>
      </c>
      <c r="G512" s="209" t="s">
        <v>298</v>
      </c>
      <c r="H512" s="194">
        <v>5559000</v>
      </c>
      <c r="I512" s="224">
        <v>2.5000000000000001E-2</v>
      </c>
      <c r="J512" s="206">
        <f t="shared" si="107"/>
        <v>4.0000000000000027</v>
      </c>
      <c r="K512" s="213">
        <v>36</v>
      </c>
      <c r="L512" s="198">
        <f t="shared" si="105"/>
        <v>0.11111111111111119</v>
      </c>
      <c r="M512" s="194">
        <v>5095750</v>
      </c>
      <c r="N512" s="199">
        <f t="shared" si="109"/>
        <v>154416.66666666666</v>
      </c>
      <c r="O512" s="200">
        <f t="shared" si="111"/>
        <v>138975</v>
      </c>
      <c r="P512" s="200">
        <v>10000</v>
      </c>
      <c r="Q512" s="200">
        <f t="shared" si="112"/>
        <v>303391.66666666663</v>
      </c>
      <c r="R512" s="201">
        <f>'[1]NOV''25'!Q522+N512-V512</f>
        <v>-3.4924596548080444E-10</v>
      </c>
      <c r="S512" s="201">
        <f>'[1]NOV''25'!R522+O512-W512</f>
        <v>0</v>
      </c>
      <c r="T512" s="201">
        <f>'[1]NOV''25'!S522+P512-X512</f>
        <v>0</v>
      </c>
      <c r="U512" s="200">
        <f t="shared" si="104"/>
        <v>-3.4924596548080444E-10</v>
      </c>
      <c r="V512" s="202">
        <v>154416.66666666701</v>
      </c>
      <c r="W512" s="203">
        <v>138975</v>
      </c>
      <c r="X512" s="203">
        <v>10000</v>
      </c>
      <c r="Y512" s="200">
        <f t="shared" si="110"/>
        <v>303391.66666666698</v>
      </c>
      <c r="Z512" s="207">
        <f t="shared" si="113"/>
        <v>4941333.333333333</v>
      </c>
      <c r="AA512" s="96"/>
      <c r="AB512" s="96" t="e">
        <f>#REF!-#REF!</f>
        <v>#REF!</v>
      </c>
    </row>
    <row r="513" spans="1:28" s="55" customFormat="1" x14ac:dyDescent="0.3">
      <c r="B513" s="191">
        <v>387</v>
      </c>
      <c r="C513" s="205" t="s">
        <v>858</v>
      </c>
      <c r="D513" s="192"/>
      <c r="E513" s="208">
        <v>45876</v>
      </c>
      <c r="F513" s="192" t="s">
        <v>859</v>
      </c>
      <c r="G513" s="209" t="s">
        <v>843</v>
      </c>
      <c r="H513" s="194">
        <v>1500000</v>
      </c>
      <c r="I513" s="224">
        <v>2.5000000000000001E-2</v>
      </c>
      <c r="J513" s="206">
        <f t="shared" si="107"/>
        <v>4.0000000000000018</v>
      </c>
      <c r="K513" s="213">
        <v>36</v>
      </c>
      <c r="L513" s="198">
        <f t="shared" si="105"/>
        <v>0.11111111111111116</v>
      </c>
      <c r="M513" s="194">
        <v>1375000</v>
      </c>
      <c r="N513" s="199">
        <f t="shared" si="109"/>
        <v>41666.666666666664</v>
      </c>
      <c r="O513" s="200">
        <f t="shared" si="111"/>
        <v>37500</v>
      </c>
      <c r="P513" s="200">
        <v>10000</v>
      </c>
      <c r="Q513" s="200">
        <f t="shared" si="112"/>
        <v>89166.666666666657</v>
      </c>
      <c r="R513" s="201">
        <f>'[1]NOV''25'!Q523+N513-V513</f>
        <v>0</v>
      </c>
      <c r="S513" s="201">
        <f>'[1]NOV''25'!R523+O513-W513</f>
        <v>0</v>
      </c>
      <c r="T513" s="201">
        <f>'[1]NOV''25'!S523+P513-X513</f>
        <v>0</v>
      </c>
      <c r="U513" s="200">
        <f t="shared" si="104"/>
        <v>0</v>
      </c>
      <c r="V513" s="202">
        <v>41666.666666666701</v>
      </c>
      <c r="W513" s="203">
        <v>37500</v>
      </c>
      <c r="X513" s="203">
        <v>10000</v>
      </c>
      <c r="Y513" s="200">
        <f t="shared" si="110"/>
        <v>89166.666666666701</v>
      </c>
      <c r="Z513" s="207">
        <f t="shared" si="113"/>
        <v>1333333.3333333333</v>
      </c>
      <c r="AA513" s="96"/>
      <c r="AB513" s="96" t="e">
        <f>#REF!-#REF!</f>
        <v>#REF!</v>
      </c>
    </row>
    <row r="514" spans="1:28" s="55" customFormat="1" x14ac:dyDescent="0.3">
      <c r="B514" s="191">
        <v>388</v>
      </c>
      <c r="C514" s="205" t="s">
        <v>860</v>
      </c>
      <c r="D514" s="192"/>
      <c r="E514" s="208">
        <v>45876</v>
      </c>
      <c r="F514" s="192" t="s">
        <v>861</v>
      </c>
      <c r="G514" s="209" t="s">
        <v>719</v>
      </c>
      <c r="H514" s="194">
        <v>5000000</v>
      </c>
      <c r="I514" s="224">
        <v>2.5000000000000001E-2</v>
      </c>
      <c r="J514" s="206">
        <f t="shared" si="107"/>
        <v>4.0000000000000231</v>
      </c>
      <c r="K514" s="213">
        <v>36</v>
      </c>
      <c r="L514" s="198">
        <f t="shared" si="105"/>
        <v>0.11111111111111176</v>
      </c>
      <c r="M514" s="194">
        <v>4583333.3333333302</v>
      </c>
      <c r="N514" s="199">
        <f t="shared" si="109"/>
        <v>138888.88888888888</v>
      </c>
      <c r="O514" s="200">
        <f t="shared" si="111"/>
        <v>125000</v>
      </c>
      <c r="P514" s="200">
        <v>10000</v>
      </c>
      <c r="Q514" s="200">
        <f t="shared" si="112"/>
        <v>273888.88888888888</v>
      </c>
      <c r="R514" s="201">
        <f>'[1]NOV''25'!Q524+N514-V514</f>
        <v>0</v>
      </c>
      <c r="S514" s="201">
        <f>'[1]NOV''25'!R524+O514-W514</f>
        <v>0</v>
      </c>
      <c r="T514" s="201">
        <f>'[1]NOV''25'!S524+P514-X514</f>
        <v>0</v>
      </c>
      <c r="U514" s="200">
        <f t="shared" si="104"/>
        <v>0</v>
      </c>
      <c r="V514" s="202">
        <v>138888.88888888899</v>
      </c>
      <c r="W514" s="203">
        <v>125000</v>
      </c>
      <c r="X514" s="203">
        <v>10000</v>
      </c>
      <c r="Y514" s="200">
        <f t="shared" si="110"/>
        <v>273888.88888888899</v>
      </c>
      <c r="Z514" s="207">
        <f t="shared" si="113"/>
        <v>4444444.4444444412</v>
      </c>
      <c r="AA514" s="96"/>
      <c r="AB514" s="96" t="e">
        <f>#REF!-#REF!</f>
        <v>#REF!</v>
      </c>
    </row>
    <row r="515" spans="1:28" s="306" customFormat="1" x14ac:dyDescent="0.3">
      <c r="A515" s="55"/>
      <c r="B515" s="191">
        <v>389</v>
      </c>
      <c r="C515" s="292" t="s">
        <v>862</v>
      </c>
      <c r="D515" s="293"/>
      <c r="E515" s="294">
        <v>45876</v>
      </c>
      <c r="F515" s="293" t="s">
        <v>202</v>
      </c>
      <c r="G515" s="295" t="s">
        <v>811</v>
      </c>
      <c r="H515" s="296">
        <v>2298000</v>
      </c>
      <c r="I515" s="297">
        <v>2.5000000000000001E-2</v>
      </c>
      <c r="J515" s="298">
        <f t="shared" si="107"/>
        <v>3.9999999999999987</v>
      </c>
      <c r="K515" s="299">
        <v>36</v>
      </c>
      <c r="L515" s="300">
        <f t="shared" si="105"/>
        <v>0.11111111111111108</v>
      </c>
      <c r="M515" s="194">
        <v>2106500</v>
      </c>
      <c r="N515" s="301">
        <f t="shared" si="109"/>
        <v>63833.333333333336</v>
      </c>
      <c r="O515" s="302">
        <f t="shared" si="111"/>
        <v>57450</v>
      </c>
      <c r="P515" s="302">
        <v>10000</v>
      </c>
      <c r="Q515" s="302">
        <f t="shared" si="112"/>
        <v>131283.33333333334</v>
      </c>
      <c r="R515" s="201">
        <f>'[1]NOV''25'!Q525+N515-V515</f>
        <v>0</v>
      </c>
      <c r="S515" s="201">
        <f>'[1]NOV''25'!R525+O515-W515</f>
        <v>0</v>
      </c>
      <c r="T515" s="201">
        <f>'[1]NOV''25'!S525+P515-X515</f>
        <v>0</v>
      </c>
      <c r="U515" s="200">
        <f t="shared" si="104"/>
        <v>0</v>
      </c>
      <c r="V515" s="303">
        <v>63833.333333333299</v>
      </c>
      <c r="W515" s="304">
        <v>57450</v>
      </c>
      <c r="X515" s="304">
        <v>10000</v>
      </c>
      <c r="Y515" s="200">
        <f t="shared" si="110"/>
        <v>131283.33333333331</v>
      </c>
      <c r="Z515" s="305">
        <f t="shared" si="113"/>
        <v>2042666.6666666667</v>
      </c>
      <c r="AA515" s="96"/>
      <c r="AB515" s="96" t="e">
        <f>#REF!-#REF!</f>
        <v>#REF!</v>
      </c>
    </row>
    <row r="516" spans="1:28" s="150" customFormat="1" x14ac:dyDescent="0.3">
      <c r="A516" s="55"/>
      <c r="B516" s="191">
        <v>390</v>
      </c>
      <c r="C516" s="117" t="s">
        <v>863</v>
      </c>
      <c r="D516" s="101"/>
      <c r="E516" s="113">
        <v>45876</v>
      </c>
      <c r="F516" s="101" t="s">
        <v>204</v>
      </c>
      <c r="G516" s="145" t="s">
        <v>303</v>
      </c>
      <c r="H516" s="107">
        <v>13568000</v>
      </c>
      <c r="I516" s="118">
        <v>2.5000000000000001E-2</v>
      </c>
      <c r="J516" s="206">
        <f t="shared" si="107"/>
        <v>4.0000000000000906</v>
      </c>
      <c r="K516" s="307">
        <v>36</v>
      </c>
      <c r="L516" s="106">
        <f t="shared" si="105"/>
        <v>0.11111111111111363</v>
      </c>
      <c r="M516" s="194">
        <v>12437333.3333333</v>
      </c>
      <c r="N516" s="108">
        <f t="shared" si="109"/>
        <v>376888.88888888888</v>
      </c>
      <c r="O516" s="109">
        <f t="shared" si="111"/>
        <v>339200</v>
      </c>
      <c r="P516" s="109">
        <v>10000</v>
      </c>
      <c r="Q516" s="109">
        <f t="shared" si="112"/>
        <v>726088.88888888888</v>
      </c>
      <c r="R516" s="201">
        <f>'[1]NOV''25'!Q526+N516-V516</f>
        <v>0</v>
      </c>
      <c r="S516" s="201">
        <f>'[1]NOV''25'!R526+O516-W516</f>
        <v>0</v>
      </c>
      <c r="T516" s="201">
        <f>'[1]NOV''25'!S526+P516-X516</f>
        <v>0</v>
      </c>
      <c r="U516" s="200">
        <f t="shared" si="104"/>
        <v>0</v>
      </c>
      <c r="V516" s="110">
        <v>376888.88888888899</v>
      </c>
      <c r="W516" s="111">
        <v>339200</v>
      </c>
      <c r="X516" s="111">
        <v>10000</v>
      </c>
      <c r="Y516" s="200">
        <f t="shared" si="110"/>
        <v>726088.88888888899</v>
      </c>
      <c r="Z516" s="141">
        <f t="shared" si="113"/>
        <v>12060444.444444411</v>
      </c>
      <c r="AA516" s="96"/>
      <c r="AB516" s="96" t="e">
        <f>#REF!-#REF!</f>
        <v>#REF!</v>
      </c>
    </row>
    <row r="517" spans="1:28" s="55" customFormat="1" x14ac:dyDescent="0.3">
      <c r="B517" s="191">
        <v>391</v>
      </c>
      <c r="C517" s="205" t="s">
        <v>854</v>
      </c>
      <c r="D517" s="192"/>
      <c r="E517" s="208">
        <v>45876</v>
      </c>
      <c r="F517" s="192" t="s">
        <v>864</v>
      </c>
      <c r="G517" s="209" t="s">
        <v>843</v>
      </c>
      <c r="H517" s="194">
        <v>1800000</v>
      </c>
      <c r="I517" s="224">
        <v>2.5000000000000001E-2</v>
      </c>
      <c r="J517" s="206">
        <f t="shared" si="107"/>
        <v>4</v>
      </c>
      <c r="K517" s="213">
        <v>36</v>
      </c>
      <c r="L517" s="198">
        <f t="shared" si="105"/>
        <v>0.1111111111111111</v>
      </c>
      <c r="M517" s="194">
        <v>1650000</v>
      </c>
      <c r="N517" s="199">
        <f t="shared" si="109"/>
        <v>50000</v>
      </c>
      <c r="O517" s="200">
        <f t="shared" si="111"/>
        <v>45000</v>
      </c>
      <c r="P517" s="200">
        <v>10000</v>
      </c>
      <c r="Q517" s="200">
        <f t="shared" si="112"/>
        <v>105000</v>
      </c>
      <c r="R517" s="201">
        <f>'[1]NOV''25'!Q527+N517-V517</f>
        <v>0</v>
      </c>
      <c r="S517" s="201">
        <f>'[1]NOV''25'!R527+O517-W517</f>
        <v>0</v>
      </c>
      <c r="T517" s="201">
        <f>'[1]NOV''25'!S527+P517-X517</f>
        <v>0</v>
      </c>
      <c r="U517" s="200">
        <f t="shared" si="104"/>
        <v>0</v>
      </c>
      <c r="V517" s="202">
        <v>50000</v>
      </c>
      <c r="W517" s="203">
        <v>45000</v>
      </c>
      <c r="X517" s="203">
        <v>10000</v>
      </c>
      <c r="Y517" s="200">
        <f t="shared" si="110"/>
        <v>105000</v>
      </c>
      <c r="Z517" s="207">
        <f t="shared" si="113"/>
        <v>1600000</v>
      </c>
      <c r="AA517" s="96"/>
      <c r="AB517" s="96" t="e">
        <f>#REF!-#REF!</f>
        <v>#REF!</v>
      </c>
    </row>
    <row r="518" spans="1:28" s="55" customFormat="1" x14ac:dyDescent="0.3">
      <c r="B518" s="191">
        <v>392</v>
      </c>
      <c r="C518" s="205" t="s">
        <v>865</v>
      </c>
      <c r="D518" s="192"/>
      <c r="E518" s="208">
        <v>45877</v>
      </c>
      <c r="F518" s="192" t="s">
        <v>866</v>
      </c>
      <c r="G518" s="209" t="s">
        <v>867</v>
      </c>
      <c r="H518" s="194">
        <v>3400000</v>
      </c>
      <c r="I518" s="224">
        <v>2.5000000000000001E-2</v>
      </c>
      <c r="J518" s="206">
        <f t="shared" si="107"/>
        <v>4.0000000000000027</v>
      </c>
      <c r="K518" s="213">
        <v>24</v>
      </c>
      <c r="L518" s="198">
        <f t="shared" si="105"/>
        <v>0.16666666666666677</v>
      </c>
      <c r="M518" s="194">
        <v>2975000</v>
      </c>
      <c r="N518" s="199">
        <f t="shared" si="109"/>
        <v>141666.66666666666</v>
      </c>
      <c r="O518" s="200">
        <f t="shared" si="111"/>
        <v>85000</v>
      </c>
      <c r="P518" s="200">
        <v>10000</v>
      </c>
      <c r="Q518" s="200">
        <f t="shared" si="112"/>
        <v>236666.66666666666</v>
      </c>
      <c r="R518" s="201">
        <f>'[1]NOV''25'!Q528+N518-V518</f>
        <v>-3.4924596548080444E-10</v>
      </c>
      <c r="S518" s="201">
        <f>'[1]NOV''25'!R528+O518-W518</f>
        <v>0</v>
      </c>
      <c r="T518" s="201">
        <f>'[1]NOV''25'!S528+P518-X518</f>
        <v>0</v>
      </c>
      <c r="U518" s="200">
        <f t="shared" si="104"/>
        <v>-3.4924596548080444E-10</v>
      </c>
      <c r="V518" s="202">
        <v>141666.66666666701</v>
      </c>
      <c r="W518" s="203">
        <v>85000</v>
      </c>
      <c r="X518" s="203">
        <v>10000</v>
      </c>
      <c r="Y518" s="200">
        <f t="shared" si="110"/>
        <v>236666.66666666701</v>
      </c>
      <c r="Z518" s="207">
        <f t="shared" si="113"/>
        <v>2833333.333333333</v>
      </c>
      <c r="AA518" s="96"/>
      <c r="AB518" s="96" t="e">
        <f>#REF!-#REF!</f>
        <v>#REF!</v>
      </c>
    </row>
    <row r="519" spans="1:28" s="55" customFormat="1" x14ac:dyDescent="0.3">
      <c r="B519" s="191">
        <v>393</v>
      </c>
      <c r="C519" s="205" t="s">
        <v>868</v>
      </c>
      <c r="D519" s="192"/>
      <c r="E519" s="208">
        <v>45880</v>
      </c>
      <c r="F519" s="192" t="s">
        <v>869</v>
      </c>
      <c r="G519" s="209" t="s">
        <v>870</v>
      </c>
      <c r="H519" s="194">
        <v>9400000</v>
      </c>
      <c r="I519" s="224">
        <v>2.5000000000000001E-2</v>
      </c>
      <c r="J519" s="206">
        <f t="shared" si="107"/>
        <v>4.0000000000000231</v>
      </c>
      <c r="K519" s="213">
        <v>36</v>
      </c>
      <c r="L519" s="198">
        <f t="shared" si="105"/>
        <v>0.11111111111111176</v>
      </c>
      <c r="M519" s="194">
        <v>8616666.6666666605</v>
      </c>
      <c r="N519" s="199">
        <f t="shared" si="109"/>
        <v>261111.11111111112</v>
      </c>
      <c r="O519" s="200">
        <f t="shared" si="111"/>
        <v>235000</v>
      </c>
      <c r="P519" s="200">
        <v>10000</v>
      </c>
      <c r="Q519" s="200">
        <f t="shared" si="112"/>
        <v>506111.11111111112</v>
      </c>
      <c r="R519" s="201">
        <f>'[1]NOV''25'!Q529+N519-V519</f>
        <v>0</v>
      </c>
      <c r="S519" s="201">
        <f>'[1]NOV''25'!R529+O519-W519</f>
        <v>0</v>
      </c>
      <c r="T519" s="201">
        <f>'[1]NOV''25'!S529+P519-X519</f>
        <v>0</v>
      </c>
      <c r="U519" s="200">
        <f t="shared" ref="U519:U582" si="114">+R519+S519+T519</f>
        <v>0</v>
      </c>
      <c r="V519" s="202">
        <v>261111.11111111101</v>
      </c>
      <c r="W519" s="203">
        <v>235000</v>
      </c>
      <c r="X519" s="203">
        <v>10000</v>
      </c>
      <c r="Y519" s="200">
        <f t="shared" si="110"/>
        <v>506111.11111111101</v>
      </c>
      <c r="Z519" s="207">
        <f t="shared" si="113"/>
        <v>8355555.5555555495</v>
      </c>
      <c r="AA519" s="96"/>
      <c r="AB519" s="96" t="e">
        <f>#REF!-#REF!</f>
        <v>#REF!</v>
      </c>
    </row>
    <row r="520" spans="1:28" s="55" customFormat="1" x14ac:dyDescent="0.3">
      <c r="B520" s="191">
        <v>394</v>
      </c>
      <c r="C520" s="205" t="s">
        <v>871</v>
      </c>
      <c r="D520" s="192"/>
      <c r="E520" s="208">
        <v>45880</v>
      </c>
      <c r="F520" s="192" t="s">
        <v>872</v>
      </c>
      <c r="G520" s="209" t="s">
        <v>873</v>
      </c>
      <c r="H520" s="194">
        <v>4750000</v>
      </c>
      <c r="I520" s="224">
        <v>2.5000000000000001E-2</v>
      </c>
      <c r="J520" s="206">
        <f t="shared" si="107"/>
        <v>3.9999999999999734</v>
      </c>
      <c r="K520" s="213">
        <v>36</v>
      </c>
      <c r="L520" s="198">
        <f t="shared" si="105"/>
        <v>0.11111111111111037</v>
      </c>
      <c r="M520" s="194">
        <v>4354166.6666666698</v>
      </c>
      <c r="N520" s="199">
        <f t="shared" si="109"/>
        <v>131944.44444444444</v>
      </c>
      <c r="O520" s="200">
        <f t="shared" si="111"/>
        <v>118750</v>
      </c>
      <c r="P520" s="200">
        <v>10000</v>
      </c>
      <c r="Q520" s="200">
        <f t="shared" si="112"/>
        <v>260694.44444444444</v>
      </c>
      <c r="R520" s="201">
        <f>'[1]NOV''25'!Q530+N520-V520</f>
        <v>4.3655745685100555E-10</v>
      </c>
      <c r="S520" s="201">
        <f>'[1]NOV''25'!R530+O520-W520</f>
        <v>0</v>
      </c>
      <c r="T520" s="201">
        <f>'[1]NOV''25'!S530+P520-X520</f>
        <v>0</v>
      </c>
      <c r="U520" s="200">
        <f t="shared" si="114"/>
        <v>4.3655745685100555E-10</v>
      </c>
      <c r="V520" s="202">
        <v>131944.444444444</v>
      </c>
      <c r="W520" s="203">
        <v>118750</v>
      </c>
      <c r="X520" s="203">
        <v>10000</v>
      </c>
      <c r="Y520" s="200">
        <f t="shared" si="110"/>
        <v>260694.444444444</v>
      </c>
      <c r="Z520" s="207">
        <f t="shared" si="113"/>
        <v>4222222.2222222257</v>
      </c>
      <c r="AA520" s="96"/>
      <c r="AB520" s="96" t="e">
        <f>#REF!-#REF!</f>
        <v>#REF!</v>
      </c>
    </row>
    <row r="521" spans="1:28" s="150" customFormat="1" x14ac:dyDescent="0.3">
      <c r="A521" s="55"/>
      <c r="B521" s="191">
        <v>395</v>
      </c>
      <c r="C521" s="117" t="s">
        <v>874</v>
      </c>
      <c r="D521" s="101"/>
      <c r="E521" s="113">
        <v>45881</v>
      </c>
      <c r="F521" s="101" t="s">
        <v>205</v>
      </c>
      <c r="G521" s="145" t="s">
        <v>303</v>
      </c>
      <c r="H521" s="107">
        <v>10552000</v>
      </c>
      <c r="I521" s="118">
        <v>2.5000000000000001E-2</v>
      </c>
      <c r="J521" s="206">
        <f t="shared" si="107"/>
        <v>4.000000000000024</v>
      </c>
      <c r="K521" s="307">
        <v>36</v>
      </c>
      <c r="L521" s="106">
        <f t="shared" si="105"/>
        <v>0.11111111111111177</v>
      </c>
      <c r="M521" s="194">
        <v>9672666.6666666605</v>
      </c>
      <c r="N521" s="108">
        <f t="shared" si="109"/>
        <v>293111.11111111112</v>
      </c>
      <c r="O521" s="109">
        <f t="shared" si="111"/>
        <v>263800</v>
      </c>
      <c r="P521" s="109">
        <v>10000</v>
      </c>
      <c r="Q521" s="109">
        <f t="shared" si="112"/>
        <v>566911.11111111112</v>
      </c>
      <c r="R521" s="201">
        <f>'[1]NOV''25'!Q531+N521-V521</f>
        <v>0</v>
      </c>
      <c r="S521" s="201">
        <f>'[1]NOV''25'!R531+O521-W521</f>
        <v>0</v>
      </c>
      <c r="T521" s="201">
        <f>'[1]NOV''25'!S531+P521-X521</f>
        <v>0</v>
      </c>
      <c r="U521" s="200">
        <f t="shared" si="114"/>
        <v>0</v>
      </c>
      <c r="V521" s="110">
        <v>293111.11111111101</v>
      </c>
      <c r="W521" s="111">
        <v>263800</v>
      </c>
      <c r="X521" s="111">
        <v>10000</v>
      </c>
      <c r="Y521" s="200">
        <f t="shared" si="110"/>
        <v>566911.11111111101</v>
      </c>
      <c r="Z521" s="141">
        <f t="shared" si="113"/>
        <v>9379555.5555555485</v>
      </c>
      <c r="AA521" s="96"/>
      <c r="AB521" s="96" t="e">
        <f>#REF!-#REF!</f>
        <v>#REF!</v>
      </c>
    </row>
    <row r="522" spans="1:28" s="55" customFormat="1" x14ac:dyDescent="0.3">
      <c r="B522" s="191">
        <v>396</v>
      </c>
      <c r="C522" s="205" t="s">
        <v>875</v>
      </c>
      <c r="D522" s="192"/>
      <c r="E522" s="208">
        <v>45881</v>
      </c>
      <c r="F522" s="192" t="s">
        <v>876</v>
      </c>
      <c r="G522" s="209" t="s">
        <v>877</v>
      </c>
      <c r="H522" s="194">
        <v>2800000</v>
      </c>
      <c r="I522" s="224">
        <v>2.5000000000000001E-2</v>
      </c>
      <c r="J522" s="206">
        <f t="shared" si="107"/>
        <v>3.9999999999999627</v>
      </c>
      <c r="K522" s="213">
        <v>36</v>
      </c>
      <c r="L522" s="198">
        <f t="shared" si="105"/>
        <v>0.11111111111111008</v>
      </c>
      <c r="M522" s="194">
        <v>2566666.6666666698</v>
      </c>
      <c r="N522" s="199">
        <f t="shared" si="109"/>
        <v>77777.777777777781</v>
      </c>
      <c r="O522" s="200">
        <f t="shared" si="111"/>
        <v>70000</v>
      </c>
      <c r="P522" s="200">
        <v>10000</v>
      </c>
      <c r="Q522" s="200">
        <f t="shared" si="112"/>
        <v>157777.77777777778</v>
      </c>
      <c r="R522" s="201">
        <f>'[1]NOV''25'!Q532+N522-V522</f>
        <v>0</v>
      </c>
      <c r="S522" s="201">
        <f>'[1]NOV''25'!R532+O522-W522</f>
        <v>0</v>
      </c>
      <c r="T522" s="201">
        <f>'[1]NOV''25'!S532+P522-X522</f>
        <v>0</v>
      </c>
      <c r="U522" s="200">
        <f t="shared" si="114"/>
        <v>0</v>
      </c>
      <c r="V522" s="202">
        <v>77777.777777777796</v>
      </c>
      <c r="W522" s="203">
        <v>70000</v>
      </c>
      <c r="X522" s="203">
        <v>10000</v>
      </c>
      <c r="Y522" s="200">
        <f t="shared" si="110"/>
        <v>157777.77777777781</v>
      </c>
      <c r="Z522" s="207">
        <f t="shared" si="113"/>
        <v>2488888.8888888918</v>
      </c>
      <c r="AA522" s="96"/>
      <c r="AB522" s="96" t="e">
        <f>#REF!-#REF!</f>
        <v>#REF!</v>
      </c>
    </row>
    <row r="523" spans="1:28" s="55" customFormat="1" x14ac:dyDescent="0.3">
      <c r="B523" s="191">
        <v>397</v>
      </c>
      <c r="C523" s="205" t="s">
        <v>878</v>
      </c>
      <c r="D523" s="192"/>
      <c r="E523" s="208">
        <v>45883</v>
      </c>
      <c r="F523" s="192" t="s">
        <v>879</v>
      </c>
      <c r="G523" s="209" t="s">
        <v>880</v>
      </c>
      <c r="H523" s="194">
        <v>2900000</v>
      </c>
      <c r="I523" s="195">
        <v>2.5000000000000001E-2</v>
      </c>
      <c r="J523" s="206">
        <f t="shared" si="107"/>
        <v>4.0000000000000373</v>
      </c>
      <c r="K523" s="213">
        <v>36</v>
      </c>
      <c r="L523" s="198">
        <f t="shared" si="105"/>
        <v>0.11111111111111215</v>
      </c>
      <c r="M523" s="194">
        <v>2658333.3333333302</v>
      </c>
      <c r="N523" s="199">
        <f t="shared" si="109"/>
        <v>80555.555555555562</v>
      </c>
      <c r="O523" s="200">
        <f t="shared" si="111"/>
        <v>72500</v>
      </c>
      <c r="P523" s="200">
        <v>10000</v>
      </c>
      <c r="Q523" s="200">
        <f t="shared" si="112"/>
        <v>163055.55555555556</v>
      </c>
      <c r="R523" s="201">
        <f>'[1]NOV''25'!Q533+N523-V523</f>
        <v>0</v>
      </c>
      <c r="S523" s="201">
        <f>'[1]NOV''25'!R533+O523-W523</f>
        <v>0</v>
      </c>
      <c r="T523" s="201">
        <f>'[1]NOV''25'!S533+P523-X523</f>
        <v>0</v>
      </c>
      <c r="U523" s="200">
        <f t="shared" si="114"/>
        <v>0</v>
      </c>
      <c r="V523" s="202">
        <v>80555.555555555606</v>
      </c>
      <c r="W523" s="203">
        <v>72500</v>
      </c>
      <c r="X523" s="203">
        <v>10000</v>
      </c>
      <c r="Y523" s="200">
        <f t="shared" si="110"/>
        <v>163055.55555555562</v>
      </c>
      <c r="Z523" s="207">
        <f t="shared" si="113"/>
        <v>2577777.7777777747</v>
      </c>
      <c r="AA523" s="96"/>
      <c r="AB523" s="96" t="e">
        <f>#REF!-#REF!</f>
        <v>#REF!</v>
      </c>
    </row>
    <row r="524" spans="1:28" s="55" customFormat="1" x14ac:dyDescent="0.3">
      <c r="B524" s="191">
        <v>398</v>
      </c>
      <c r="C524" s="205" t="s">
        <v>881</v>
      </c>
      <c r="D524" s="192"/>
      <c r="E524" s="208">
        <v>45883</v>
      </c>
      <c r="F524" s="192" t="s">
        <v>882</v>
      </c>
      <c r="G524" s="209" t="s">
        <v>850</v>
      </c>
      <c r="H524" s="194">
        <v>5200000</v>
      </c>
      <c r="I524" s="195">
        <v>2.5000000000000001E-2</v>
      </c>
      <c r="J524" s="206">
        <f t="shared" si="107"/>
        <v>3.999999999999976</v>
      </c>
      <c r="K524" s="213">
        <v>36</v>
      </c>
      <c r="L524" s="198">
        <f t="shared" si="105"/>
        <v>0.11111111111111044</v>
      </c>
      <c r="M524" s="194">
        <v>4766666.6666666698</v>
      </c>
      <c r="N524" s="199">
        <f t="shared" si="109"/>
        <v>144444.44444444444</v>
      </c>
      <c r="O524" s="200">
        <f t="shared" si="111"/>
        <v>130000</v>
      </c>
      <c r="P524" s="200">
        <v>10000</v>
      </c>
      <c r="Q524" s="200">
        <f t="shared" si="112"/>
        <v>284444.44444444444</v>
      </c>
      <c r="R524" s="201">
        <f>'[1]NOV''25'!Q534+N524-V524</f>
        <v>4.3655745685100555E-10</v>
      </c>
      <c r="S524" s="201">
        <f>'[1]NOV''25'!R534+O524-W524</f>
        <v>0</v>
      </c>
      <c r="T524" s="201">
        <f>'[1]NOV''25'!S534+P524-X524</f>
        <v>0</v>
      </c>
      <c r="U524" s="200">
        <f t="shared" si="114"/>
        <v>4.3655745685100555E-10</v>
      </c>
      <c r="V524" s="202">
        <v>144444.444444444</v>
      </c>
      <c r="W524" s="203">
        <v>130000</v>
      </c>
      <c r="X524" s="203">
        <v>10000</v>
      </c>
      <c r="Y524" s="200">
        <f t="shared" si="110"/>
        <v>284444.44444444403</v>
      </c>
      <c r="Z524" s="207">
        <f t="shared" si="113"/>
        <v>4622222.2222222257</v>
      </c>
      <c r="AA524" s="96"/>
      <c r="AB524" s="96" t="e">
        <f>#REF!-#REF!</f>
        <v>#REF!</v>
      </c>
    </row>
    <row r="525" spans="1:28" s="55" customFormat="1" x14ac:dyDescent="0.3">
      <c r="B525" s="191">
        <v>399</v>
      </c>
      <c r="C525" s="205" t="s">
        <v>883</v>
      </c>
      <c r="D525" s="192"/>
      <c r="E525" s="208">
        <v>45884</v>
      </c>
      <c r="F525" s="192" t="s">
        <v>884</v>
      </c>
      <c r="G525" s="209" t="s">
        <v>850</v>
      </c>
      <c r="H525" s="194">
        <v>8000000</v>
      </c>
      <c r="I525" s="195">
        <v>2.5000000000000001E-2</v>
      </c>
      <c r="J525" s="206">
        <f t="shared" si="107"/>
        <v>4.0000000000000133</v>
      </c>
      <c r="K525" s="213">
        <v>36</v>
      </c>
      <c r="L525" s="198">
        <f t="shared" ref="L525:L588" si="115">J525/K525</f>
        <v>0.11111111111111148</v>
      </c>
      <c r="M525" s="194">
        <v>7333333.3333333302</v>
      </c>
      <c r="N525" s="199">
        <f t="shared" si="109"/>
        <v>222222.22222222222</v>
      </c>
      <c r="O525" s="200">
        <f t="shared" si="111"/>
        <v>200000</v>
      </c>
      <c r="P525" s="200">
        <v>10000</v>
      </c>
      <c r="Q525" s="200">
        <f t="shared" si="112"/>
        <v>432222.22222222225</v>
      </c>
      <c r="R525" s="201">
        <f>'[1]NOV''25'!Q535+N525-V525</f>
        <v>2.3283064365386963E-10</v>
      </c>
      <c r="S525" s="201">
        <f>'[1]NOV''25'!R535+O525-W525</f>
        <v>0</v>
      </c>
      <c r="T525" s="201">
        <f>'[1]NOV''25'!S535+P525-X525</f>
        <v>0</v>
      </c>
      <c r="U525" s="200">
        <f t="shared" si="114"/>
        <v>2.3283064365386963E-10</v>
      </c>
      <c r="V525" s="202">
        <v>222222.22222222199</v>
      </c>
      <c r="W525" s="203">
        <v>200000</v>
      </c>
      <c r="X525" s="203">
        <v>10000</v>
      </c>
      <c r="Y525" s="200">
        <f t="shared" si="110"/>
        <v>432222.22222222202</v>
      </c>
      <c r="Z525" s="207">
        <f t="shared" si="113"/>
        <v>7111111.1111111082</v>
      </c>
      <c r="AA525" s="96"/>
      <c r="AB525" s="96" t="e">
        <f>#REF!-#REF!</f>
        <v>#REF!</v>
      </c>
    </row>
    <row r="526" spans="1:28" s="55" customFormat="1" x14ac:dyDescent="0.3">
      <c r="B526" s="191">
        <v>400</v>
      </c>
      <c r="C526" s="205" t="s">
        <v>885</v>
      </c>
      <c r="D526" s="192"/>
      <c r="E526" s="208">
        <v>45889</v>
      </c>
      <c r="F526" s="192" t="s">
        <v>886</v>
      </c>
      <c r="G526" s="209" t="s">
        <v>850</v>
      </c>
      <c r="H526" s="194">
        <v>12800000</v>
      </c>
      <c r="I526" s="195">
        <v>2.5000000000000001E-2</v>
      </c>
      <c r="J526" s="206">
        <f t="shared" si="107"/>
        <v>4.0000000000000933</v>
      </c>
      <c r="K526" s="213">
        <v>36</v>
      </c>
      <c r="L526" s="198">
        <f t="shared" si="115"/>
        <v>0.1111111111111137</v>
      </c>
      <c r="M526" s="194">
        <v>11733333.3333333</v>
      </c>
      <c r="N526" s="199">
        <f t="shared" si="109"/>
        <v>355555.55555555556</v>
      </c>
      <c r="O526" s="200">
        <f t="shared" si="111"/>
        <v>320000</v>
      </c>
      <c r="P526" s="200">
        <v>10000</v>
      </c>
      <c r="Q526" s="200">
        <f t="shared" si="112"/>
        <v>685555.5555555555</v>
      </c>
      <c r="R526" s="201">
        <f>'[1]NOV''25'!Q536+N526-V526</f>
        <v>-4.6566128730773926E-10</v>
      </c>
      <c r="S526" s="201">
        <f>'[1]NOV''25'!R536+O526-W526</f>
        <v>0</v>
      </c>
      <c r="T526" s="201">
        <f>'[1]NOV''25'!S536+P526-X526</f>
        <v>0</v>
      </c>
      <c r="U526" s="200">
        <f t="shared" si="114"/>
        <v>-4.6566128730773926E-10</v>
      </c>
      <c r="V526" s="202">
        <v>355555.55555555603</v>
      </c>
      <c r="W526" s="203">
        <v>320000</v>
      </c>
      <c r="X526" s="203">
        <v>10000</v>
      </c>
      <c r="Y526" s="200">
        <f t="shared" si="110"/>
        <v>685555.55555555597</v>
      </c>
      <c r="Z526" s="207">
        <f t="shared" si="113"/>
        <v>11377777.777777744</v>
      </c>
      <c r="AA526" s="96"/>
      <c r="AB526" s="96" t="e">
        <f>#REF!-#REF!</f>
        <v>#REF!</v>
      </c>
    </row>
    <row r="527" spans="1:28" s="55" customFormat="1" x14ac:dyDescent="0.3">
      <c r="B527" s="191">
        <v>401</v>
      </c>
      <c r="C527" s="205" t="s">
        <v>887</v>
      </c>
      <c r="D527" s="192"/>
      <c r="E527" s="208">
        <v>45889</v>
      </c>
      <c r="F527" s="192" t="s">
        <v>888</v>
      </c>
      <c r="G527" s="209" t="s">
        <v>889</v>
      </c>
      <c r="H527" s="194">
        <v>9900000</v>
      </c>
      <c r="I527" s="195">
        <v>2.5000000000000001E-2</v>
      </c>
      <c r="J527" s="206">
        <f t="shared" si="107"/>
        <v>4</v>
      </c>
      <c r="K527" s="213">
        <v>36</v>
      </c>
      <c r="L527" s="198">
        <f t="shared" si="115"/>
        <v>0.1111111111111111</v>
      </c>
      <c r="M527" s="194">
        <v>9075000</v>
      </c>
      <c r="N527" s="199">
        <f t="shared" si="109"/>
        <v>275000</v>
      </c>
      <c r="O527" s="200">
        <f t="shared" si="111"/>
        <v>247500</v>
      </c>
      <c r="P527" s="200">
        <v>10000</v>
      </c>
      <c r="Q527" s="200">
        <f t="shared" si="112"/>
        <v>532500</v>
      </c>
      <c r="R527" s="201">
        <f>'[1]NOV''25'!Q537+N527-V527</f>
        <v>0</v>
      </c>
      <c r="S527" s="201">
        <f>'[1]NOV''25'!R537+O527-W527</f>
        <v>0</v>
      </c>
      <c r="T527" s="201">
        <f>'[1]NOV''25'!S537+P527-X527</f>
        <v>0</v>
      </c>
      <c r="U527" s="200">
        <f t="shared" si="114"/>
        <v>0</v>
      </c>
      <c r="V527" s="202">
        <v>275000</v>
      </c>
      <c r="W527" s="203">
        <v>247500</v>
      </c>
      <c r="X527" s="203">
        <v>10000</v>
      </c>
      <c r="Y527" s="200">
        <f t="shared" si="110"/>
        <v>532500</v>
      </c>
      <c r="Z527" s="207">
        <f t="shared" si="113"/>
        <v>8800000</v>
      </c>
      <c r="AA527" s="96"/>
      <c r="AB527" s="96" t="e">
        <f>#REF!-#REF!</f>
        <v>#REF!</v>
      </c>
    </row>
    <row r="528" spans="1:28" s="55" customFormat="1" x14ac:dyDescent="0.3">
      <c r="B528" s="191">
        <v>402</v>
      </c>
      <c r="C528" s="205" t="s">
        <v>890</v>
      </c>
      <c r="D528" s="192"/>
      <c r="E528" s="208">
        <v>45889</v>
      </c>
      <c r="F528" s="192" t="s">
        <v>891</v>
      </c>
      <c r="G528" s="209" t="s">
        <v>892</v>
      </c>
      <c r="H528" s="194">
        <v>10500000</v>
      </c>
      <c r="I528" s="195">
        <v>2.5000000000000001E-2</v>
      </c>
      <c r="J528" s="206">
        <f t="shared" si="107"/>
        <v>4.0000011428571298</v>
      </c>
      <c r="K528" s="213">
        <v>36</v>
      </c>
      <c r="L528" s="198">
        <f t="shared" si="115"/>
        <v>0.11111114285714249</v>
      </c>
      <c r="M528" s="194">
        <v>9624999.6666666698</v>
      </c>
      <c r="N528" s="199">
        <f t="shared" si="109"/>
        <v>291666.66666666669</v>
      </c>
      <c r="O528" s="200">
        <f t="shared" si="111"/>
        <v>262500</v>
      </c>
      <c r="P528" s="200">
        <v>10000</v>
      </c>
      <c r="Q528" s="200">
        <f t="shared" si="112"/>
        <v>564166.66666666674</v>
      </c>
      <c r="R528" s="201">
        <f>'[1]NOV''25'!Q538+N528-V528</f>
        <v>-0.33333333360496908</v>
      </c>
      <c r="S528" s="201">
        <f>'[1]NOV''25'!R538+O528-W528</f>
        <v>0</v>
      </c>
      <c r="T528" s="201">
        <f>'[1]NOV''25'!S538+P528-X528</f>
        <v>0</v>
      </c>
      <c r="U528" s="200">
        <f t="shared" si="114"/>
        <v>-0.33333333360496908</v>
      </c>
      <c r="V528" s="202">
        <v>291666.66666666698</v>
      </c>
      <c r="W528" s="203">
        <v>262500</v>
      </c>
      <c r="X528" s="203">
        <v>10000</v>
      </c>
      <c r="Y528" s="200">
        <f t="shared" si="110"/>
        <v>564166.66666666698</v>
      </c>
      <c r="Z528" s="207">
        <f t="shared" si="113"/>
        <v>9333333.0000000037</v>
      </c>
      <c r="AA528" s="96"/>
      <c r="AB528" s="96" t="e">
        <f>#REF!-#REF!</f>
        <v>#REF!</v>
      </c>
    </row>
    <row r="529" spans="2:28" s="55" customFormat="1" x14ac:dyDescent="0.3">
      <c r="B529" s="191">
        <v>403</v>
      </c>
      <c r="C529" s="205" t="s">
        <v>893</v>
      </c>
      <c r="D529" s="192"/>
      <c r="E529" s="208">
        <v>45894</v>
      </c>
      <c r="F529" s="192" t="s">
        <v>894</v>
      </c>
      <c r="G529" s="209" t="s">
        <v>895</v>
      </c>
      <c r="H529" s="194">
        <v>9000000</v>
      </c>
      <c r="I529" s="195">
        <v>2.5000000000000001E-2</v>
      </c>
      <c r="J529" s="206">
        <f t="shared" si="107"/>
        <v>4</v>
      </c>
      <c r="K529" s="213">
        <v>36</v>
      </c>
      <c r="L529" s="198">
        <f t="shared" si="115"/>
        <v>0.1111111111111111</v>
      </c>
      <c r="M529" s="194">
        <v>8250000</v>
      </c>
      <c r="N529" s="199">
        <f t="shared" si="109"/>
        <v>250000</v>
      </c>
      <c r="O529" s="200">
        <f t="shared" si="111"/>
        <v>225000</v>
      </c>
      <c r="P529" s="200">
        <v>10000</v>
      </c>
      <c r="Q529" s="200">
        <f t="shared" si="112"/>
        <v>485000</v>
      </c>
      <c r="R529" s="201">
        <f>'[1]NOV''25'!Q539+N529-V529</f>
        <v>0</v>
      </c>
      <c r="S529" s="201">
        <f>'[1]NOV''25'!R539+O529-W529</f>
        <v>0</v>
      </c>
      <c r="T529" s="201">
        <f>'[1]NOV''25'!S539+P529-X529</f>
        <v>0</v>
      </c>
      <c r="U529" s="200">
        <f t="shared" si="114"/>
        <v>0</v>
      </c>
      <c r="V529" s="202">
        <v>250000</v>
      </c>
      <c r="W529" s="203">
        <v>225000</v>
      </c>
      <c r="X529" s="203">
        <v>10000</v>
      </c>
      <c r="Y529" s="200">
        <f t="shared" si="110"/>
        <v>485000</v>
      </c>
      <c r="Z529" s="207">
        <f t="shared" si="113"/>
        <v>8000000</v>
      </c>
      <c r="AA529" s="96"/>
      <c r="AB529" s="96" t="e">
        <f>#REF!-#REF!</f>
        <v>#REF!</v>
      </c>
    </row>
    <row r="530" spans="2:28" s="55" customFormat="1" x14ac:dyDescent="0.3">
      <c r="B530" s="191">
        <v>404</v>
      </c>
      <c r="C530" s="205" t="s">
        <v>896</v>
      </c>
      <c r="D530" s="192"/>
      <c r="E530" s="208">
        <v>45897</v>
      </c>
      <c r="F530" s="192" t="s">
        <v>897</v>
      </c>
      <c r="G530" s="209" t="s">
        <v>877</v>
      </c>
      <c r="H530" s="194">
        <v>10000000</v>
      </c>
      <c r="I530" s="195">
        <v>2.5000000000000001E-2</v>
      </c>
      <c r="J530" s="206">
        <f t="shared" si="107"/>
        <v>4.0000000000000169</v>
      </c>
      <c r="K530" s="213">
        <v>36</v>
      </c>
      <c r="L530" s="198">
        <f t="shared" si="115"/>
        <v>0.11111111111111158</v>
      </c>
      <c r="M530" s="194">
        <v>9444444.4444444403</v>
      </c>
      <c r="N530" s="199">
        <f t="shared" si="109"/>
        <v>277777.77777777775</v>
      </c>
      <c r="O530" s="200">
        <f t="shared" si="111"/>
        <v>250000</v>
      </c>
      <c r="P530" s="200">
        <v>10000</v>
      </c>
      <c r="Q530" s="200">
        <f t="shared" si="112"/>
        <v>537777.77777777775</v>
      </c>
      <c r="R530" s="201">
        <f>'[1]NOV''25'!Q540+N530-V530</f>
        <v>0</v>
      </c>
      <c r="S530" s="201">
        <f>'[1]NOV''25'!R540+O530-W530</f>
        <v>0</v>
      </c>
      <c r="T530" s="201">
        <f>'[1]NOV''25'!S540+P530-X530</f>
        <v>0</v>
      </c>
      <c r="U530" s="200">
        <f t="shared" si="114"/>
        <v>0</v>
      </c>
      <c r="V530" s="202">
        <f>277777.777777778+277777.777777778</f>
        <v>555555.55555555597</v>
      </c>
      <c r="W530" s="203">
        <f>250000+250000</f>
        <v>500000</v>
      </c>
      <c r="X530" s="203">
        <f>10000+10000</f>
        <v>20000</v>
      </c>
      <c r="Y530" s="200">
        <f t="shared" si="110"/>
        <v>1075555.555555556</v>
      </c>
      <c r="Z530" s="207">
        <f t="shared" si="113"/>
        <v>8888888.8888888843</v>
      </c>
      <c r="AA530" s="96"/>
      <c r="AB530" s="96" t="e">
        <f>#REF!-#REF!</f>
        <v>#REF!</v>
      </c>
    </row>
    <row r="531" spans="2:28" s="55" customFormat="1" x14ac:dyDescent="0.3">
      <c r="B531" s="191">
        <v>405</v>
      </c>
      <c r="C531" s="205" t="s">
        <v>898</v>
      </c>
      <c r="D531" s="192"/>
      <c r="E531" s="208">
        <v>45897</v>
      </c>
      <c r="F531" s="192" t="s">
        <v>899</v>
      </c>
      <c r="G531" s="209" t="s">
        <v>880</v>
      </c>
      <c r="H531" s="194">
        <v>8000000</v>
      </c>
      <c r="I531" s="195">
        <v>2.5000000000000001E-2</v>
      </c>
      <c r="J531" s="206">
        <f t="shared" ref="J531:J594" si="116">(H531-Z531)/N531</f>
        <v>3.9999989999999803</v>
      </c>
      <c r="K531" s="213">
        <v>36</v>
      </c>
      <c r="L531" s="198">
        <f t="shared" si="115"/>
        <v>0.11111108333333279</v>
      </c>
      <c r="M531" s="194">
        <v>7333333.5555555597</v>
      </c>
      <c r="N531" s="199">
        <f t="shared" si="109"/>
        <v>222222.22222222222</v>
      </c>
      <c r="O531" s="200">
        <f t="shared" si="111"/>
        <v>200000</v>
      </c>
      <c r="P531" s="200">
        <v>10000</v>
      </c>
      <c r="Q531" s="200">
        <f t="shared" si="112"/>
        <v>432222.22222222225</v>
      </c>
      <c r="R531" s="201">
        <f>'[1]NOV''25'!Q541+N531-V531</f>
        <v>0.22222222245181911</v>
      </c>
      <c r="S531" s="201">
        <f>'[1]NOV''25'!R541+O531-W531</f>
        <v>0</v>
      </c>
      <c r="T531" s="201">
        <f>'[1]NOV''25'!S541+P531-X531</f>
        <v>0</v>
      </c>
      <c r="U531" s="200">
        <f t="shared" si="114"/>
        <v>0.22222222245181911</v>
      </c>
      <c r="V531" s="202">
        <v>222222.22222222199</v>
      </c>
      <c r="W531" s="203">
        <v>200000</v>
      </c>
      <c r="X531" s="203">
        <v>10000</v>
      </c>
      <c r="Y531" s="200">
        <f t="shared" si="110"/>
        <v>432222.22222222202</v>
      </c>
      <c r="Z531" s="207">
        <f t="shared" si="113"/>
        <v>7111111.3333333377</v>
      </c>
      <c r="AA531" s="96"/>
      <c r="AB531" s="96" t="e">
        <f>#REF!-#REF!</f>
        <v>#REF!</v>
      </c>
    </row>
    <row r="532" spans="2:28" s="55" customFormat="1" x14ac:dyDescent="0.3">
      <c r="B532" s="191">
        <v>406</v>
      </c>
      <c r="C532" s="205" t="s">
        <v>900</v>
      </c>
      <c r="D532" s="192"/>
      <c r="E532" s="208">
        <v>45897</v>
      </c>
      <c r="F532" s="192" t="s">
        <v>901</v>
      </c>
      <c r="G532" s="209" t="s">
        <v>701</v>
      </c>
      <c r="H532" s="194">
        <v>3492000</v>
      </c>
      <c r="I532" s="195">
        <v>2.5000000000000001E-2</v>
      </c>
      <c r="J532" s="206">
        <f t="shared" si="116"/>
        <v>4</v>
      </c>
      <c r="K532" s="213">
        <v>36</v>
      </c>
      <c r="L532" s="198">
        <f t="shared" si="115"/>
        <v>0.1111111111111111</v>
      </c>
      <c r="M532" s="194">
        <v>3201000</v>
      </c>
      <c r="N532" s="199">
        <f t="shared" ref="N532:N593" si="117">SUM(H532/K532)</f>
        <v>97000</v>
      </c>
      <c r="O532" s="200">
        <f t="shared" si="111"/>
        <v>87300</v>
      </c>
      <c r="P532" s="200">
        <v>10000</v>
      </c>
      <c r="Q532" s="200">
        <f t="shared" si="112"/>
        <v>194300</v>
      </c>
      <c r="R532" s="201">
        <f>'[1]NOV''25'!Q542+N532-V532</f>
        <v>0</v>
      </c>
      <c r="S532" s="201">
        <f>'[1]NOV''25'!R542+O532-W532</f>
        <v>0</v>
      </c>
      <c r="T532" s="201">
        <f>'[1]NOV''25'!S542+P532-X532</f>
        <v>0</v>
      </c>
      <c r="U532" s="200">
        <f t="shared" si="114"/>
        <v>0</v>
      </c>
      <c r="V532" s="202">
        <v>97000</v>
      </c>
      <c r="W532" s="203">
        <v>87300</v>
      </c>
      <c r="X532" s="203">
        <v>10000</v>
      </c>
      <c r="Y532" s="200">
        <f t="shared" ref="Y532:Y595" si="118">+V532+W532+X532</f>
        <v>194300</v>
      </c>
      <c r="Z532" s="207">
        <f t="shared" si="113"/>
        <v>3104000</v>
      </c>
      <c r="AA532" s="96"/>
      <c r="AB532" s="96" t="e">
        <f>#REF!-#REF!</f>
        <v>#REF!</v>
      </c>
    </row>
    <row r="533" spans="2:28" s="55" customFormat="1" x14ac:dyDescent="0.3">
      <c r="B533" s="191">
        <v>407</v>
      </c>
      <c r="C533" s="205" t="s">
        <v>902</v>
      </c>
      <c r="D533" s="192"/>
      <c r="E533" s="208">
        <v>45898</v>
      </c>
      <c r="F533" s="192" t="s">
        <v>903</v>
      </c>
      <c r="G533" s="209" t="s">
        <v>895</v>
      </c>
      <c r="H533" s="194">
        <v>13400000</v>
      </c>
      <c r="I533" s="195">
        <v>2.5000000000000001E-2</v>
      </c>
      <c r="J533" s="206">
        <f t="shared" si="116"/>
        <v>4.0000000000000879</v>
      </c>
      <c r="K533" s="213">
        <v>36</v>
      </c>
      <c r="L533" s="198">
        <f t="shared" si="115"/>
        <v>0.11111111111111355</v>
      </c>
      <c r="M533" s="194">
        <v>12283333.3333333</v>
      </c>
      <c r="N533" s="199">
        <f t="shared" si="117"/>
        <v>372222.22222222225</v>
      </c>
      <c r="O533" s="200">
        <f t="shared" si="111"/>
        <v>335000</v>
      </c>
      <c r="P533" s="200">
        <v>10000</v>
      </c>
      <c r="Q533" s="200">
        <f t="shared" si="112"/>
        <v>717222.22222222225</v>
      </c>
      <c r="R533" s="201">
        <f>'[1]NOV''25'!Q543+N533-V533</f>
        <v>0</v>
      </c>
      <c r="S533" s="201">
        <f>'[1]NOV''25'!R543+O533-W533</f>
        <v>0</v>
      </c>
      <c r="T533" s="201">
        <f>'[1]NOV''25'!S543+P533-X533</f>
        <v>0</v>
      </c>
      <c r="U533" s="200">
        <f t="shared" si="114"/>
        <v>0</v>
      </c>
      <c r="V533" s="202">
        <v>372222.22222222202</v>
      </c>
      <c r="W533" s="203">
        <v>335000</v>
      </c>
      <c r="X533" s="203">
        <v>10000</v>
      </c>
      <c r="Y533" s="200">
        <f t="shared" si="118"/>
        <v>717222.22222222202</v>
      </c>
      <c r="Z533" s="207">
        <f t="shared" si="113"/>
        <v>11911111.111111078</v>
      </c>
      <c r="AA533" s="96"/>
      <c r="AB533" s="96" t="e">
        <f>#REF!-#REF!</f>
        <v>#REF!</v>
      </c>
    </row>
    <row r="534" spans="2:28" s="55" customFormat="1" x14ac:dyDescent="0.3">
      <c r="B534" s="191">
        <v>408</v>
      </c>
      <c r="C534" s="205" t="s">
        <v>904</v>
      </c>
      <c r="D534" s="192"/>
      <c r="E534" s="208">
        <v>45902</v>
      </c>
      <c r="F534" s="192" t="s">
        <v>905</v>
      </c>
      <c r="G534" s="209" t="s">
        <v>906</v>
      </c>
      <c r="H534" s="194">
        <v>1600000</v>
      </c>
      <c r="I534" s="195">
        <v>2.5000000000000001E-2</v>
      </c>
      <c r="J534" s="206">
        <f t="shared" si="116"/>
        <v>2.9999900125000027</v>
      </c>
      <c r="K534" s="213">
        <v>36</v>
      </c>
      <c r="L534" s="198">
        <f t="shared" si="115"/>
        <v>8.3333055902777856E-2</v>
      </c>
      <c r="M534" s="194">
        <v>1511111.5549999999</v>
      </c>
      <c r="N534" s="199">
        <f t="shared" si="117"/>
        <v>44444.444444444445</v>
      </c>
      <c r="O534" s="200">
        <f t="shared" si="111"/>
        <v>40000</v>
      </c>
      <c r="P534" s="200">
        <v>10000</v>
      </c>
      <c r="Q534" s="200">
        <f t="shared" si="112"/>
        <v>94444.444444444438</v>
      </c>
      <c r="R534" s="201">
        <f>'[1]NOV''25'!Q544+N534-V534</f>
        <v>0.44388888892717659</v>
      </c>
      <c r="S534" s="201">
        <f>'[1]NOV''25'!R544+O534-W534</f>
        <v>0</v>
      </c>
      <c r="T534" s="201">
        <f>'[1]NOV''25'!S544+P534-X534</f>
        <v>0</v>
      </c>
      <c r="U534" s="200">
        <f t="shared" si="114"/>
        <v>0.44388888892717659</v>
      </c>
      <c r="V534" s="202">
        <v>44444.444444444402</v>
      </c>
      <c r="W534" s="203">
        <v>40000</v>
      </c>
      <c r="X534" s="203">
        <v>10000</v>
      </c>
      <c r="Y534" s="200">
        <f t="shared" si="118"/>
        <v>94444.444444444409</v>
      </c>
      <c r="Z534" s="207">
        <f t="shared" si="113"/>
        <v>1466667.1105555554</v>
      </c>
      <c r="AA534" s="96"/>
      <c r="AB534" s="96" t="e">
        <f>#REF!-#REF!</f>
        <v>#REF!</v>
      </c>
    </row>
    <row r="535" spans="2:28" s="55" customFormat="1" x14ac:dyDescent="0.3">
      <c r="B535" s="191">
        <v>409</v>
      </c>
      <c r="C535" s="205" t="s">
        <v>907</v>
      </c>
      <c r="D535" s="192"/>
      <c r="E535" s="208">
        <v>45902</v>
      </c>
      <c r="F535" s="192" t="s">
        <v>908</v>
      </c>
      <c r="G535" s="209" t="s">
        <v>909</v>
      </c>
      <c r="H535" s="194">
        <v>13000000</v>
      </c>
      <c r="I535" s="195">
        <v>2.5000000000000001E-2</v>
      </c>
      <c r="J535" s="206">
        <f t="shared" si="116"/>
        <v>2.9999999999999347</v>
      </c>
      <c r="K535" s="213">
        <v>36</v>
      </c>
      <c r="L535" s="198">
        <f t="shared" si="115"/>
        <v>8.3333333333331525E-2</v>
      </c>
      <c r="M535" s="194">
        <v>12277777.7777778</v>
      </c>
      <c r="N535" s="199">
        <f t="shared" si="117"/>
        <v>361111.11111111112</v>
      </c>
      <c r="O535" s="200">
        <f t="shared" si="111"/>
        <v>325000</v>
      </c>
      <c r="P535" s="200">
        <v>10000</v>
      </c>
      <c r="Q535" s="200">
        <f t="shared" si="112"/>
        <v>696111.11111111112</v>
      </c>
      <c r="R535" s="201">
        <f>'[1]NOV''25'!Q545+N535-V535</f>
        <v>0</v>
      </c>
      <c r="S535" s="201">
        <f>'[1]NOV''25'!R545+O535-W535</f>
        <v>0</v>
      </c>
      <c r="T535" s="201">
        <f>'[1]NOV''25'!S545+P535-X535</f>
        <v>0</v>
      </c>
      <c r="U535" s="200">
        <f t="shared" si="114"/>
        <v>0</v>
      </c>
      <c r="V535" s="202">
        <v>361111.11111111101</v>
      </c>
      <c r="W535" s="203">
        <v>325000</v>
      </c>
      <c r="X535" s="203">
        <v>10000</v>
      </c>
      <c r="Y535" s="200">
        <f t="shared" si="118"/>
        <v>696111.11111111101</v>
      </c>
      <c r="Z535" s="207">
        <f t="shared" ref="Z535:Z566" si="119">SUM(M535-V535)</f>
        <v>11916666.66666669</v>
      </c>
      <c r="AA535" s="96"/>
      <c r="AB535" s="96" t="e">
        <f>#REF!-#REF!</f>
        <v>#REF!</v>
      </c>
    </row>
    <row r="536" spans="2:28" s="55" customFormat="1" x14ac:dyDescent="0.3">
      <c r="B536" s="191">
        <v>410</v>
      </c>
      <c r="C536" s="205" t="s">
        <v>910</v>
      </c>
      <c r="D536" s="192"/>
      <c r="E536" s="208">
        <v>45903</v>
      </c>
      <c r="F536" s="192" t="s">
        <v>911</v>
      </c>
      <c r="G536" s="209" t="s">
        <v>906</v>
      </c>
      <c r="H536" s="194">
        <v>11000000</v>
      </c>
      <c r="I536" s="195">
        <v>2.5000000000000001E-2</v>
      </c>
      <c r="J536" s="206">
        <f t="shared" si="116"/>
        <v>2.9999999999999676</v>
      </c>
      <c r="K536" s="213">
        <v>36</v>
      </c>
      <c r="L536" s="198">
        <f t="shared" si="115"/>
        <v>8.3333333333332427E-2</v>
      </c>
      <c r="M536" s="194">
        <v>10388888.888888899</v>
      </c>
      <c r="N536" s="199">
        <f t="shared" si="117"/>
        <v>305555.55555555556</v>
      </c>
      <c r="O536" s="200">
        <f t="shared" si="111"/>
        <v>275000</v>
      </c>
      <c r="P536" s="200">
        <v>10000</v>
      </c>
      <c r="Q536" s="200">
        <f t="shared" si="112"/>
        <v>590555.5555555555</v>
      </c>
      <c r="R536" s="201">
        <f>'[1]NOV''25'!Q546+N536-V536</f>
        <v>-4.6566128730773926E-10</v>
      </c>
      <c r="S536" s="201">
        <f>'[1]NOV''25'!R546+O536-W536</f>
        <v>0</v>
      </c>
      <c r="T536" s="201">
        <f>'[1]NOV''25'!S546+P536-X536</f>
        <v>0</v>
      </c>
      <c r="U536" s="200">
        <f t="shared" si="114"/>
        <v>-4.6566128730773926E-10</v>
      </c>
      <c r="V536" s="202">
        <v>305555.55555555603</v>
      </c>
      <c r="W536" s="203">
        <v>275000</v>
      </c>
      <c r="X536" s="203">
        <v>10000</v>
      </c>
      <c r="Y536" s="200">
        <f t="shared" si="118"/>
        <v>590555.55555555597</v>
      </c>
      <c r="Z536" s="207">
        <f t="shared" si="119"/>
        <v>10083333.333333343</v>
      </c>
      <c r="AA536" s="96"/>
      <c r="AB536" s="96" t="e">
        <f>#REF!-#REF!</f>
        <v>#REF!</v>
      </c>
    </row>
    <row r="537" spans="2:28" s="55" customFormat="1" x14ac:dyDescent="0.3">
      <c r="B537" s="191">
        <v>411</v>
      </c>
      <c r="C537" s="205" t="s">
        <v>912</v>
      </c>
      <c r="D537" s="192"/>
      <c r="E537" s="208">
        <v>45903</v>
      </c>
      <c r="F537" s="192" t="s">
        <v>913</v>
      </c>
      <c r="G537" s="209" t="s">
        <v>850</v>
      </c>
      <c r="H537" s="194">
        <v>6300000</v>
      </c>
      <c r="I537" s="195">
        <v>2.5000000000000001E-2</v>
      </c>
      <c r="J537" s="206">
        <f t="shared" si="116"/>
        <v>3</v>
      </c>
      <c r="K537" s="213">
        <v>36</v>
      </c>
      <c r="L537" s="198">
        <f t="shared" si="115"/>
        <v>8.3333333333333329E-2</v>
      </c>
      <c r="M537" s="194">
        <v>6077937</v>
      </c>
      <c r="N537" s="199">
        <f t="shared" si="117"/>
        <v>175000</v>
      </c>
      <c r="O537" s="200">
        <f t="shared" si="111"/>
        <v>157500</v>
      </c>
      <c r="P537" s="200">
        <v>10000</v>
      </c>
      <c r="Q537" s="200">
        <f t="shared" si="112"/>
        <v>342500</v>
      </c>
      <c r="R537" s="201">
        <f>'[1]NOV''25'!Q547+N537-V537</f>
        <v>0</v>
      </c>
      <c r="S537" s="201">
        <f>'[1]NOV''25'!R547+O537-W537</f>
        <v>0</v>
      </c>
      <c r="T537" s="201">
        <f>'[1]NOV''25'!S547+P537-X537</f>
        <v>0</v>
      </c>
      <c r="U537" s="200">
        <f t="shared" si="114"/>
        <v>0</v>
      </c>
      <c r="V537" s="202">
        <f>175000+127937</f>
        <v>302937</v>
      </c>
      <c r="W537" s="203">
        <v>157500</v>
      </c>
      <c r="X537" s="203">
        <v>10000</v>
      </c>
      <c r="Y537" s="200">
        <f t="shared" si="118"/>
        <v>470437</v>
      </c>
      <c r="Z537" s="207">
        <f t="shared" si="119"/>
        <v>5775000</v>
      </c>
      <c r="AA537" s="96"/>
      <c r="AB537" s="96" t="e">
        <f>#REF!-#REF!</f>
        <v>#REF!</v>
      </c>
    </row>
    <row r="538" spans="2:28" s="55" customFormat="1" x14ac:dyDescent="0.3">
      <c r="B538" s="191">
        <v>412</v>
      </c>
      <c r="C538" s="205" t="s">
        <v>914</v>
      </c>
      <c r="D538" s="192"/>
      <c r="E538" s="208">
        <v>45903</v>
      </c>
      <c r="F538" s="192" t="s">
        <v>915</v>
      </c>
      <c r="G538" s="209" t="s">
        <v>909</v>
      </c>
      <c r="H538" s="194">
        <v>4400000</v>
      </c>
      <c r="I538" s="195">
        <v>2.5000000000000001E-2</v>
      </c>
      <c r="J538" s="206">
        <f t="shared" si="116"/>
        <v>2.9999981818181634</v>
      </c>
      <c r="K538" s="213">
        <v>36</v>
      </c>
      <c r="L538" s="198">
        <f t="shared" si="115"/>
        <v>8.3333282828282312E-2</v>
      </c>
      <c r="M538" s="194">
        <v>4155555.7777777798</v>
      </c>
      <c r="N538" s="199">
        <f t="shared" si="117"/>
        <v>122222.22222222222</v>
      </c>
      <c r="O538" s="200">
        <f t="shared" si="111"/>
        <v>110000</v>
      </c>
      <c r="P538" s="200">
        <v>10000</v>
      </c>
      <c r="Q538" s="200">
        <f t="shared" si="112"/>
        <v>242222.22222222222</v>
      </c>
      <c r="R538" s="201">
        <f>'[1]NOV''25'!Q548+N538-V538</f>
        <v>0.22222222243726719</v>
      </c>
      <c r="S538" s="201">
        <f>'[1]NOV''25'!R548+O538-W538</f>
        <v>0</v>
      </c>
      <c r="T538" s="201">
        <f>'[1]NOV''25'!S548+P538-X538</f>
        <v>0</v>
      </c>
      <c r="U538" s="200">
        <f t="shared" si="114"/>
        <v>0.22222222243726719</v>
      </c>
      <c r="V538" s="202">
        <v>122222.222222222</v>
      </c>
      <c r="W538" s="203">
        <v>110000</v>
      </c>
      <c r="X538" s="203">
        <v>10000</v>
      </c>
      <c r="Y538" s="200">
        <f t="shared" si="118"/>
        <v>242222.22222222202</v>
      </c>
      <c r="Z538" s="207">
        <f t="shared" si="119"/>
        <v>4033333.5555555578</v>
      </c>
      <c r="AA538" s="96"/>
      <c r="AB538" s="96" t="e">
        <f>#REF!-#REF!</f>
        <v>#REF!</v>
      </c>
    </row>
    <row r="539" spans="2:28" s="55" customFormat="1" x14ac:dyDescent="0.3">
      <c r="B539" s="191">
        <v>413</v>
      </c>
      <c r="C539" s="205" t="s">
        <v>916</v>
      </c>
      <c r="D539" s="192"/>
      <c r="E539" s="208">
        <v>45903</v>
      </c>
      <c r="F539" s="192" t="s">
        <v>917</v>
      </c>
      <c r="G539" s="209" t="s">
        <v>906</v>
      </c>
      <c r="H539" s="194">
        <v>10750000</v>
      </c>
      <c r="I539" s="195">
        <v>2.5000000000000001E-2</v>
      </c>
      <c r="J539" s="206">
        <f t="shared" si="116"/>
        <v>2.999999999999921</v>
      </c>
      <c r="K539" s="213">
        <v>36</v>
      </c>
      <c r="L539" s="198">
        <f t="shared" si="115"/>
        <v>8.3333333333331136E-2</v>
      </c>
      <c r="M539" s="194">
        <v>10152777.7777778</v>
      </c>
      <c r="N539" s="199">
        <f t="shared" si="117"/>
        <v>298611.11111111112</v>
      </c>
      <c r="O539" s="200">
        <f t="shared" si="111"/>
        <v>268750</v>
      </c>
      <c r="P539" s="200">
        <v>10000</v>
      </c>
      <c r="Q539" s="200">
        <f t="shared" si="112"/>
        <v>577361.11111111112</v>
      </c>
      <c r="R539" s="201">
        <f>'[1]NOV''25'!Q549+N539-V539</f>
        <v>0</v>
      </c>
      <c r="S539" s="201">
        <f>'[1]NOV''25'!R549+O539-W539</f>
        <v>0</v>
      </c>
      <c r="T539" s="201">
        <f>'[1]NOV''25'!S549+P539-X539</f>
        <v>0</v>
      </c>
      <c r="U539" s="200">
        <f t="shared" si="114"/>
        <v>0</v>
      </c>
      <c r="V539" s="202">
        <v>298611.11111111101</v>
      </c>
      <c r="W539" s="203">
        <v>268750</v>
      </c>
      <c r="X539" s="203">
        <v>10000</v>
      </c>
      <c r="Y539" s="200">
        <f t="shared" si="118"/>
        <v>577361.11111111101</v>
      </c>
      <c r="Z539" s="207">
        <f t="shared" si="119"/>
        <v>9854166.6666666903</v>
      </c>
      <c r="AA539" s="96"/>
      <c r="AB539" s="96" t="e">
        <f>#REF!-#REF!</f>
        <v>#REF!</v>
      </c>
    </row>
    <row r="540" spans="2:28" s="55" customFormat="1" x14ac:dyDescent="0.3">
      <c r="B540" s="191">
        <v>414</v>
      </c>
      <c r="C540" s="205" t="s">
        <v>918</v>
      </c>
      <c r="D540" s="192"/>
      <c r="E540" s="208">
        <v>45903</v>
      </c>
      <c r="F540" s="192" t="s">
        <v>214</v>
      </c>
      <c r="G540" s="209" t="s">
        <v>811</v>
      </c>
      <c r="H540" s="194">
        <v>6500000</v>
      </c>
      <c r="I540" s="195">
        <v>2.5000000000000001E-2</v>
      </c>
      <c r="J540" s="206">
        <f t="shared" si="116"/>
        <v>2.9999999999999964</v>
      </c>
      <c r="K540" s="213">
        <v>36</v>
      </c>
      <c r="L540" s="198">
        <f t="shared" si="115"/>
        <v>8.3333333333333232E-2</v>
      </c>
      <c r="M540" s="194">
        <v>6138888.8888888899</v>
      </c>
      <c r="N540" s="199">
        <f t="shared" si="117"/>
        <v>180555.55555555556</v>
      </c>
      <c r="O540" s="200">
        <f t="shared" si="111"/>
        <v>162500</v>
      </c>
      <c r="P540" s="200">
        <v>10000</v>
      </c>
      <c r="Q540" s="200">
        <f t="shared" si="112"/>
        <v>353055.55555555556</v>
      </c>
      <c r="R540" s="201">
        <f>'[1]NOV''25'!Q550+N540-V540</f>
        <v>-4.3655745685100555E-10</v>
      </c>
      <c r="S540" s="201">
        <f>'[1]NOV''25'!R550+O540-W540</f>
        <v>0</v>
      </c>
      <c r="T540" s="201">
        <f>'[1]NOV''25'!S550+P540-X540</f>
        <v>0</v>
      </c>
      <c r="U540" s="200">
        <f t="shared" si="114"/>
        <v>-4.3655745685100555E-10</v>
      </c>
      <c r="V540" s="202">
        <v>180555.555555556</v>
      </c>
      <c r="W540" s="203">
        <v>162500</v>
      </c>
      <c r="X540" s="203">
        <v>10000</v>
      </c>
      <c r="Y540" s="200">
        <f t="shared" si="118"/>
        <v>353055.55555555597</v>
      </c>
      <c r="Z540" s="207">
        <f t="shared" si="119"/>
        <v>5958333.333333334</v>
      </c>
      <c r="AA540" s="96"/>
      <c r="AB540" s="96" t="e">
        <f>#REF!-#REF!</f>
        <v>#REF!</v>
      </c>
    </row>
    <row r="541" spans="2:28" s="55" customFormat="1" x14ac:dyDescent="0.3">
      <c r="B541" s="191">
        <v>415</v>
      </c>
      <c r="C541" s="205" t="s">
        <v>919</v>
      </c>
      <c r="D541" s="192"/>
      <c r="E541" s="208">
        <v>45903</v>
      </c>
      <c r="F541" s="192" t="s">
        <v>920</v>
      </c>
      <c r="G541" s="209" t="s">
        <v>921</v>
      </c>
      <c r="H541" s="194">
        <v>5300000</v>
      </c>
      <c r="I541" s="195">
        <v>2.5000000000000001E-2</v>
      </c>
      <c r="J541" s="206">
        <f t="shared" si="116"/>
        <v>3.0000000000000124</v>
      </c>
      <c r="K541" s="213">
        <v>24</v>
      </c>
      <c r="L541" s="198">
        <f t="shared" si="115"/>
        <v>0.12500000000000053</v>
      </c>
      <c r="M541" s="194">
        <v>4858333.3333333302</v>
      </c>
      <c r="N541" s="199">
        <f t="shared" si="117"/>
        <v>220833.33333333334</v>
      </c>
      <c r="O541" s="200">
        <f t="shared" si="111"/>
        <v>132500</v>
      </c>
      <c r="P541" s="200">
        <v>10000</v>
      </c>
      <c r="Q541" s="200">
        <f t="shared" si="112"/>
        <v>363333.33333333337</v>
      </c>
      <c r="R541" s="201">
        <f>'[1]NOV''25'!Q551+N541-V541</f>
        <v>3.4924596548080444E-10</v>
      </c>
      <c r="S541" s="201">
        <f>'[1]NOV''25'!R551+O541-W541</f>
        <v>0</v>
      </c>
      <c r="T541" s="201">
        <f>'[1]NOV''25'!S551+P541-X541</f>
        <v>0</v>
      </c>
      <c r="U541" s="200">
        <f t="shared" si="114"/>
        <v>3.4924596548080444E-10</v>
      </c>
      <c r="V541" s="202">
        <v>220833.33333333299</v>
      </c>
      <c r="W541" s="203">
        <v>132500</v>
      </c>
      <c r="X541" s="203">
        <v>10000</v>
      </c>
      <c r="Y541" s="200">
        <f t="shared" si="118"/>
        <v>363333.33333333302</v>
      </c>
      <c r="Z541" s="207">
        <f t="shared" si="119"/>
        <v>4637499.9999999972</v>
      </c>
      <c r="AA541" s="96"/>
      <c r="AB541" s="96" t="e">
        <f>#REF!-#REF!</f>
        <v>#REF!</v>
      </c>
    </row>
    <row r="542" spans="2:28" s="55" customFormat="1" x14ac:dyDescent="0.3">
      <c r="B542" s="191">
        <v>416</v>
      </c>
      <c r="C542" s="205" t="s">
        <v>922</v>
      </c>
      <c r="D542" s="192"/>
      <c r="E542" s="208">
        <v>45908</v>
      </c>
      <c r="F542" s="192" t="s">
        <v>923</v>
      </c>
      <c r="G542" s="209" t="s">
        <v>924</v>
      </c>
      <c r="H542" s="194">
        <v>8750000</v>
      </c>
      <c r="I542" s="195">
        <v>2.5000000000000001E-2</v>
      </c>
      <c r="J542" s="206">
        <f t="shared" si="116"/>
        <v>2.9999999999999973</v>
      </c>
      <c r="K542" s="213">
        <v>36</v>
      </c>
      <c r="L542" s="198">
        <f t="shared" si="115"/>
        <v>8.3333333333333259E-2</v>
      </c>
      <c r="M542" s="194">
        <v>8263888.8888888899</v>
      </c>
      <c r="N542" s="199">
        <f t="shared" si="117"/>
        <v>243055.55555555556</v>
      </c>
      <c r="O542" s="200">
        <f t="shared" si="111"/>
        <v>218750</v>
      </c>
      <c r="P542" s="200">
        <v>10000</v>
      </c>
      <c r="Q542" s="200">
        <f t="shared" si="112"/>
        <v>471805.55555555556</v>
      </c>
      <c r="R542" s="201">
        <f>'[1]NOV''25'!Q552+N542-V542</f>
        <v>-4.3655745685100555E-10</v>
      </c>
      <c r="S542" s="201">
        <f>'[1]NOV''25'!R552+O542-W542</f>
        <v>0</v>
      </c>
      <c r="T542" s="201">
        <f>'[1]NOV''25'!S552+P542-X542</f>
        <v>0</v>
      </c>
      <c r="U542" s="200">
        <f t="shared" si="114"/>
        <v>-4.3655745685100555E-10</v>
      </c>
      <c r="V542" s="202">
        <v>243055.555555556</v>
      </c>
      <c r="W542" s="203">
        <v>218750</v>
      </c>
      <c r="X542" s="203">
        <v>10000</v>
      </c>
      <c r="Y542" s="200">
        <f t="shared" si="118"/>
        <v>471805.55555555597</v>
      </c>
      <c r="Z542" s="207">
        <f t="shared" si="119"/>
        <v>8020833.333333334</v>
      </c>
      <c r="AA542" s="96"/>
      <c r="AB542" s="96" t="e">
        <f>#REF!-#REF!</f>
        <v>#REF!</v>
      </c>
    </row>
    <row r="543" spans="2:28" s="55" customFormat="1" x14ac:dyDescent="0.3">
      <c r="B543" s="191">
        <v>417</v>
      </c>
      <c r="C543" s="205" t="s">
        <v>925</v>
      </c>
      <c r="D543" s="192"/>
      <c r="E543" s="208">
        <v>45908</v>
      </c>
      <c r="F543" s="192" t="s">
        <v>926</v>
      </c>
      <c r="G543" s="209" t="s">
        <v>927</v>
      </c>
      <c r="H543" s="194">
        <v>12250000</v>
      </c>
      <c r="I543" s="195">
        <v>2.5000000000000001E-2</v>
      </c>
      <c r="J543" s="206">
        <f t="shared" si="116"/>
        <v>3.0000000000001332</v>
      </c>
      <c r="K543" s="213">
        <v>36</v>
      </c>
      <c r="L543" s="198">
        <f t="shared" si="115"/>
        <v>8.3333333333337034E-2</v>
      </c>
      <c r="M543" s="194">
        <v>11569444.444444399</v>
      </c>
      <c r="N543" s="199">
        <f t="shared" si="117"/>
        <v>340277.77777777775</v>
      </c>
      <c r="O543" s="200">
        <f t="shared" si="111"/>
        <v>306250</v>
      </c>
      <c r="P543" s="200">
        <v>10000</v>
      </c>
      <c r="Q543" s="200">
        <f t="shared" si="112"/>
        <v>656527.77777777775</v>
      </c>
      <c r="R543" s="201">
        <f>'[1]NOV''25'!Q553+N543-V543</f>
        <v>0</v>
      </c>
      <c r="S543" s="201">
        <f>'[1]NOV''25'!R553+O543-W543</f>
        <v>0</v>
      </c>
      <c r="T543" s="201">
        <f>'[1]NOV''25'!S553+P543-X543</f>
        <v>0</v>
      </c>
      <c r="U543" s="200">
        <f t="shared" si="114"/>
        <v>0</v>
      </c>
      <c r="V543" s="202">
        <v>340277.77777777798</v>
      </c>
      <c r="W543" s="203">
        <v>306250</v>
      </c>
      <c r="X543" s="203">
        <v>10000</v>
      </c>
      <c r="Y543" s="200">
        <f t="shared" si="118"/>
        <v>656527.77777777798</v>
      </c>
      <c r="Z543" s="207">
        <f t="shared" si="119"/>
        <v>11229166.666666621</v>
      </c>
      <c r="AA543" s="96"/>
      <c r="AB543" s="96" t="e">
        <f>#REF!-#REF!</f>
        <v>#REF!</v>
      </c>
    </row>
    <row r="544" spans="2:28" s="55" customFormat="1" x14ac:dyDescent="0.3">
      <c r="B544" s="191">
        <v>418</v>
      </c>
      <c r="C544" s="205" t="s">
        <v>928</v>
      </c>
      <c r="D544" s="192"/>
      <c r="E544" s="208">
        <v>45908</v>
      </c>
      <c r="F544" s="192" t="s">
        <v>212</v>
      </c>
      <c r="G544" s="209" t="s">
        <v>298</v>
      </c>
      <c r="H544" s="194">
        <v>9500000</v>
      </c>
      <c r="I544" s="195">
        <v>2.5000000000000001E-2</v>
      </c>
      <c r="J544" s="206">
        <f t="shared" si="116"/>
        <v>1.000000000000004</v>
      </c>
      <c r="K544" s="213">
        <v>36</v>
      </c>
      <c r="L544" s="198">
        <f t="shared" si="115"/>
        <v>2.7777777777777887E-2</v>
      </c>
      <c r="M544" s="194">
        <v>9236111.1111111101</v>
      </c>
      <c r="N544" s="199">
        <f t="shared" si="117"/>
        <v>263888.88888888888</v>
      </c>
      <c r="O544" s="200">
        <f t="shared" ref="O544:O567" si="120">SUM(H544*I544)</f>
        <v>237500</v>
      </c>
      <c r="P544" s="200">
        <v>10000</v>
      </c>
      <c r="Q544" s="200">
        <f t="shared" ref="Q544:Q607" si="121">+N544+O544+P544</f>
        <v>511388.88888888888</v>
      </c>
      <c r="R544" s="201">
        <f>'[1]NOV''25'!Q554+N544-V544</f>
        <v>527777.77777777787</v>
      </c>
      <c r="S544" s="201">
        <f>'[1]NOV''25'!R554+O544-W544</f>
        <v>451851</v>
      </c>
      <c r="T544" s="201">
        <f>'[1]NOV''25'!S554+P544-X544</f>
        <v>10000</v>
      </c>
      <c r="U544" s="200">
        <f t="shared" si="114"/>
        <v>989628.77777777787</v>
      </c>
      <c r="V544" s="202">
        <v>0</v>
      </c>
      <c r="W544" s="203">
        <v>0</v>
      </c>
      <c r="X544" s="203">
        <v>0</v>
      </c>
      <c r="Y544" s="200">
        <f t="shared" si="118"/>
        <v>0</v>
      </c>
      <c r="Z544" s="207">
        <f t="shared" si="119"/>
        <v>9236111.1111111101</v>
      </c>
      <c r="AA544" s="96" t="s">
        <v>455</v>
      </c>
      <c r="AB544" s="96" t="e">
        <f>#REF!-#REF!</f>
        <v>#REF!</v>
      </c>
    </row>
    <row r="545" spans="2:28" s="55" customFormat="1" x14ac:dyDescent="0.3">
      <c r="B545" s="191">
        <v>419</v>
      </c>
      <c r="C545" s="205" t="s">
        <v>929</v>
      </c>
      <c r="D545" s="192"/>
      <c r="E545" s="208">
        <v>45909</v>
      </c>
      <c r="F545" s="192" t="s">
        <v>930</v>
      </c>
      <c r="G545" s="209" t="s">
        <v>931</v>
      </c>
      <c r="H545" s="194">
        <v>9250000</v>
      </c>
      <c r="I545" s="195">
        <v>2.5000000000000001E-2</v>
      </c>
      <c r="J545" s="206">
        <f t="shared" si="116"/>
        <v>3.0000000000000027</v>
      </c>
      <c r="K545" s="213">
        <v>36</v>
      </c>
      <c r="L545" s="198">
        <f t="shared" si="115"/>
        <v>8.3333333333333412E-2</v>
      </c>
      <c r="M545" s="194">
        <v>8736111.1111111101</v>
      </c>
      <c r="N545" s="199">
        <f t="shared" si="117"/>
        <v>256944.44444444444</v>
      </c>
      <c r="O545" s="200">
        <f t="shared" si="120"/>
        <v>231250</v>
      </c>
      <c r="P545" s="200">
        <v>10000</v>
      </c>
      <c r="Q545" s="200">
        <f t="shared" si="121"/>
        <v>498194.44444444444</v>
      </c>
      <c r="R545" s="201">
        <f>'[1]NOV''25'!Q555+N545-V545</f>
        <v>4.3655745685100555E-10</v>
      </c>
      <c r="S545" s="201">
        <f>'[1]NOV''25'!R555+O545-W545</f>
        <v>0</v>
      </c>
      <c r="T545" s="201">
        <f>'[1]NOV''25'!S555+P545-X545</f>
        <v>0</v>
      </c>
      <c r="U545" s="200">
        <f t="shared" si="114"/>
        <v>4.3655745685100555E-10</v>
      </c>
      <c r="V545" s="202">
        <v>256944.444444444</v>
      </c>
      <c r="W545" s="203">
        <v>231250</v>
      </c>
      <c r="X545" s="203">
        <v>10000</v>
      </c>
      <c r="Y545" s="200">
        <f t="shared" si="118"/>
        <v>498194.44444444403</v>
      </c>
      <c r="Z545" s="207">
        <f t="shared" si="119"/>
        <v>8479166.666666666</v>
      </c>
      <c r="AA545" s="96"/>
      <c r="AB545" s="96" t="e">
        <f>#REF!-#REF!</f>
        <v>#REF!</v>
      </c>
    </row>
    <row r="546" spans="2:28" s="55" customFormat="1" x14ac:dyDescent="0.3">
      <c r="B546" s="191">
        <v>420</v>
      </c>
      <c r="C546" s="205" t="s">
        <v>932</v>
      </c>
      <c r="D546" s="192"/>
      <c r="E546" s="208">
        <v>45909</v>
      </c>
      <c r="F546" s="192" t="s">
        <v>933</v>
      </c>
      <c r="G546" s="209" t="s">
        <v>931</v>
      </c>
      <c r="H546" s="194">
        <v>9900000</v>
      </c>
      <c r="I546" s="195">
        <v>2.5000000000000001E-2</v>
      </c>
      <c r="J546" s="206">
        <f t="shared" si="116"/>
        <v>3</v>
      </c>
      <c r="K546" s="213">
        <v>36</v>
      </c>
      <c r="L546" s="198">
        <f t="shared" si="115"/>
        <v>8.3333333333333329E-2</v>
      </c>
      <c r="M546" s="194">
        <v>9350000</v>
      </c>
      <c r="N546" s="199">
        <f t="shared" si="117"/>
        <v>275000</v>
      </c>
      <c r="O546" s="200">
        <f t="shared" si="120"/>
        <v>247500</v>
      </c>
      <c r="P546" s="200">
        <v>10000</v>
      </c>
      <c r="Q546" s="200">
        <f t="shared" si="121"/>
        <v>532500</v>
      </c>
      <c r="R546" s="201">
        <f>'[1]NOV''25'!Q556+N546-V546</f>
        <v>0</v>
      </c>
      <c r="S546" s="201">
        <f>'[1]NOV''25'!R556+O546-W546</f>
        <v>0</v>
      </c>
      <c r="T546" s="201">
        <f>'[1]NOV''25'!S556+P546-X546</f>
        <v>0</v>
      </c>
      <c r="U546" s="200">
        <f t="shared" si="114"/>
        <v>0</v>
      </c>
      <c r="V546" s="202">
        <v>275000</v>
      </c>
      <c r="W546" s="203">
        <v>247500</v>
      </c>
      <c r="X546" s="203">
        <v>10000</v>
      </c>
      <c r="Y546" s="200">
        <f t="shared" si="118"/>
        <v>532500</v>
      </c>
      <c r="Z546" s="207">
        <f t="shared" si="119"/>
        <v>9075000</v>
      </c>
      <c r="AA546" s="96"/>
      <c r="AB546" s="96" t="e">
        <f>#REF!-#REF!</f>
        <v>#REF!</v>
      </c>
    </row>
    <row r="547" spans="2:28" s="55" customFormat="1" x14ac:dyDescent="0.3">
      <c r="B547" s="191">
        <v>421</v>
      </c>
      <c r="C547" s="205" t="s">
        <v>934</v>
      </c>
      <c r="D547" s="192"/>
      <c r="E547" s="208">
        <v>45910</v>
      </c>
      <c r="F547" s="192" t="s">
        <v>216</v>
      </c>
      <c r="G547" s="209" t="s">
        <v>701</v>
      </c>
      <c r="H547" s="194">
        <v>10588000</v>
      </c>
      <c r="I547" s="195">
        <v>2.5000000000000001E-2</v>
      </c>
      <c r="J547" s="206">
        <f t="shared" si="116"/>
        <v>2.9999999999999956</v>
      </c>
      <c r="K547" s="213">
        <v>36</v>
      </c>
      <c r="L547" s="198">
        <f t="shared" si="115"/>
        <v>8.3333333333333204E-2</v>
      </c>
      <c r="M547" s="194">
        <v>9999777.7777777798</v>
      </c>
      <c r="N547" s="199">
        <f t="shared" si="117"/>
        <v>294111.11111111112</v>
      </c>
      <c r="O547" s="200">
        <f t="shared" si="120"/>
        <v>264700</v>
      </c>
      <c r="P547" s="200">
        <v>10000</v>
      </c>
      <c r="Q547" s="200">
        <f t="shared" si="121"/>
        <v>568811.11111111112</v>
      </c>
      <c r="R547" s="201">
        <f>'[1]NOV''25'!Q557+N547-V547</f>
        <v>0</v>
      </c>
      <c r="S547" s="201">
        <f>'[1]NOV''25'!R557+O547-W547</f>
        <v>0</v>
      </c>
      <c r="T547" s="201">
        <f>'[1]NOV''25'!S557+P547-X547</f>
        <v>0</v>
      </c>
      <c r="U547" s="200">
        <f t="shared" si="114"/>
        <v>0</v>
      </c>
      <c r="V547" s="202">
        <v>294111.11111111101</v>
      </c>
      <c r="W547" s="203">
        <v>264700</v>
      </c>
      <c r="X547" s="203">
        <v>10000</v>
      </c>
      <c r="Y547" s="200">
        <f t="shared" si="118"/>
        <v>568811.11111111101</v>
      </c>
      <c r="Z547" s="207">
        <f t="shared" si="119"/>
        <v>9705666.6666666679</v>
      </c>
      <c r="AA547" s="96"/>
      <c r="AB547" s="96" t="e">
        <f>#REF!-#REF!</f>
        <v>#REF!</v>
      </c>
    </row>
    <row r="548" spans="2:28" s="55" customFormat="1" x14ac:dyDescent="0.3">
      <c r="B548" s="191">
        <v>422</v>
      </c>
      <c r="C548" s="205" t="s">
        <v>935</v>
      </c>
      <c r="D548" s="192"/>
      <c r="E548" s="208">
        <v>45911</v>
      </c>
      <c r="F548" s="192" t="s">
        <v>936</v>
      </c>
      <c r="G548" s="209" t="s">
        <v>931</v>
      </c>
      <c r="H548" s="194">
        <v>4350000</v>
      </c>
      <c r="I548" s="195">
        <v>2.5000000000000001E-2</v>
      </c>
      <c r="J548" s="206">
        <f t="shared" si="116"/>
        <v>3.0000000000000231</v>
      </c>
      <c r="K548" s="213">
        <v>36</v>
      </c>
      <c r="L548" s="198">
        <f t="shared" si="115"/>
        <v>8.3333333333333981E-2</v>
      </c>
      <c r="M548" s="194">
        <v>4108333.3333333302</v>
      </c>
      <c r="N548" s="199">
        <f t="shared" si="117"/>
        <v>120833.33333333333</v>
      </c>
      <c r="O548" s="200">
        <f t="shared" si="120"/>
        <v>108750</v>
      </c>
      <c r="P548" s="200">
        <v>10000</v>
      </c>
      <c r="Q548" s="200">
        <f t="shared" si="121"/>
        <v>239583.33333333331</v>
      </c>
      <c r="R548" s="201">
        <f>'[1]NOV''25'!Q558+N548-V548</f>
        <v>3.3469405025243759E-10</v>
      </c>
      <c r="S548" s="201">
        <f>'[1]NOV''25'!R558+O548-W548</f>
        <v>0</v>
      </c>
      <c r="T548" s="201">
        <f>'[1]NOV''25'!S558+P548-X548</f>
        <v>0</v>
      </c>
      <c r="U548" s="200">
        <f t="shared" si="114"/>
        <v>3.3469405025243759E-10</v>
      </c>
      <c r="V548" s="202">
        <v>120833.33333333299</v>
      </c>
      <c r="W548" s="203">
        <v>108750</v>
      </c>
      <c r="X548" s="203">
        <v>10000</v>
      </c>
      <c r="Y548" s="200">
        <f t="shared" si="118"/>
        <v>239583.33333333299</v>
      </c>
      <c r="Z548" s="207">
        <f t="shared" si="119"/>
        <v>3987499.9999999972</v>
      </c>
      <c r="AA548" s="96"/>
      <c r="AB548" s="96" t="e">
        <f>#REF!-#REF!</f>
        <v>#REF!</v>
      </c>
    </row>
    <row r="549" spans="2:28" s="55" customFormat="1" x14ac:dyDescent="0.3">
      <c r="B549" s="191">
        <v>423</v>
      </c>
      <c r="C549" s="205" t="s">
        <v>937</v>
      </c>
      <c r="D549" s="192"/>
      <c r="E549" s="208">
        <v>45911</v>
      </c>
      <c r="F549" s="192" t="s">
        <v>938</v>
      </c>
      <c r="G549" s="209" t="s">
        <v>931</v>
      </c>
      <c r="H549" s="194">
        <v>6100000</v>
      </c>
      <c r="I549" s="195">
        <v>2.5000000000000001E-2</v>
      </c>
      <c r="J549" s="206">
        <f t="shared" si="116"/>
        <v>3.000000000000004</v>
      </c>
      <c r="K549" s="213">
        <v>36</v>
      </c>
      <c r="L549" s="198">
        <f t="shared" si="115"/>
        <v>8.333333333333344E-2</v>
      </c>
      <c r="M549" s="194">
        <v>5761111.1111111101</v>
      </c>
      <c r="N549" s="199">
        <f t="shared" si="117"/>
        <v>169444.44444444444</v>
      </c>
      <c r="O549" s="200">
        <f t="shared" si="120"/>
        <v>152500</v>
      </c>
      <c r="P549" s="200">
        <v>10000</v>
      </c>
      <c r="Q549" s="200">
        <f t="shared" si="121"/>
        <v>331944.44444444444</v>
      </c>
      <c r="R549" s="201">
        <f>'[1]NOV''25'!Q559+N549-V549</f>
        <v>4.3655745685100555E-10</v>
      </c>
      <c r="S549" s="201">
        <f>'[1]NOV''25'!R559+O549-W549</f>
        <v>0</v>
      </c>
      <c r="T549" s="201">
        <f>'[1]NOV''25'!S559+P549-X549</f>
        <v>0</v>
      </c>
      <c r="U549" s="200">
        <f t="shared" si="114"/>
        <v>4.3655745685100555E-10</v>
      </c>
      <c r="V549" s="202">
        <v>169444.444444444</v>
      </c>
      <c r="W549" s="203">
        <v>152500</v>
      </c>
      <c r="X549" s="203">
        <v>10000</v>
      </c>
      <c r="Y549" s="200">
        <f t="shared" si="118"/>
        <v>331944.44444444403</v>
      </c>
      <c r="Z549" s="207">
        <f t="shared" si="119"/>
        <v>5591666.666666666</v>
      </c>
      <c r="AA549" s="96"/>
      <c r="AB549" s="96" t="e">
        <f>#REF!-#REF!</f>
        <v>#REF!</v>
      </c>
    </row>
    <row r="550" spans="2:28" s="55" customFormat="1" x14ac:dyDescent="0.3">
      <c r="B550" s="191">
        <v>424</v>
      </c>
      <c r="C550" s="205" t="s">
        <v>939</v>
      </c>
      <c r="D550" s="192"/>
      <c r="E550" s="208">
        <v>45911</v>
      </c>
      <c r="F550" s="192" t="s">
        <v>940</v>
      </c>
      <c r="G550" s="209" t="s">
        <v>786</v>
      </c>
      <c r="H550" s="194">
        <v>6250000</v>
      </c>
      <c r="I550" s="195">
        <v>2.5000000000000001E-2</v>
      </c>
      <c r="J550" s="206">
        <f t="shared" si="116"/>
        <v>2.9999999999999871</v>
      </c>
      <c r="K550" s="213">
        <v>36</v>
      </c>
      <c r="L550" s="198">
        <f t="shared" si="115"/>
        <v>8.3333333333332982E-2</v>
      </c>
      <c r="M550" s="194">
        <v>5902777.7777777798</v>
      </c>
      <c r="N550" s="199">
        <f t="shared" si="117"/>
        <v>173611.11111111112</v>
      </c>
      <c r="O550" s="200">
        <f t="shared" si="120"/>
        <v>156250</v>
      </c>
      <c r="P550" s="200">
        <v>10000</v>
      </c>
      <c r="Q550" s="200">
        <f t="shared" si="121"/>
        <v>339861.11111111112</v>
      </c>
      <c r="R550" s="201">
        <f>'[1]NOV''25'!Q560+N550-V550</f>
        <v>0</v>
      </c>
      <c r="S550" s="201">
        <f>'[1]NOV''25'!R560+O550-W550</f>
        <v>0</v>
      </c>
      <c r="T550" s="201">
        <f>'[1]NOV''25'!S560+P550-X550</f>
        <v>0</v>
      </c>
      <c r="U550" s="200">
        <f t="shared" si="114"/>
        <v>0</v>
      </c>
      <c r="V550" s="202">
        <v>173611.11111111101</v>
      </c>
      <c r="W550" s="203">
        <v>156250</v>
      </c>
      <c r="X550" s="203">
        <v>10000</v>
      </c>
      <c r="Y550" s="200">
        <f t="shared" si="118"/>
        <v>339861.11111111101</v>
      </c>
      <c r="Z550" s="207">
        <f t="shared" si="119"/>
        <v>5729166.6666666688</v>
      </c>
      <c r="AA550" s="96"/>
      <c r="AB550" s="96" t="e">
        <f>#REF!-#REF!</f>
        <v>#REF!</v>
      </c>
    </row>
    <row r="551" spans="2:28" s="55" customFormat="1" x14ac:dyDescent="0.3">
      <c r="B551" s="191">
        <v>425</v>
      </c>
      <c r="C551" s="205" t="s">
        <v>941</v>
      </c>
      <c r="D551" s="192"/>
      <c r="E551" s="208">
        <v>45911</v>
      </c>
      <c r="F551" s="192" t="s">
        <v>942</v>
      </c>
      <c r="G551" s="209" t="s">
        <v>943</v>
      </c>
      <c r="H551" s="194">
        <v>10200000</v>
      </c>
      <c r="I551" s="195">
        <v>2.5000000000000001E-2</v>
      </c>
      <c r="J551" s="206">
        <f t="shared" si="116"/>
        <v>3.0000000000000133</v>
      </c>
      <c r="K551" s="213">
        <v>36</v>
      </c>
      <c r="L551" s="198">
        <f t="shared" si="115"/>
        <v>8.3333333333333703E-2</v>
      </c>
      <c r="M551" s="194">
        <v>9633333.3333333302</v>
      </c>
      <c r="N551" s="199">
        <f t="shared" si="117"/>
        <v>283333.33333333331</v>
      </c>
      <c r="O551" s="200">
        <f t="shared" si="120"/>
        <v>255000</v>
      </c>
      <c r="P551" s="200">
        <v>10000</v>
      </c>
      <c r="Q551" s="200">
        <f t="shared" si="121"/>
        <v>548333.33333333326</v>
      </c>
      <c r="R551" s="201">
        <f>'[1]NOV''25'!Q561+N551-V551</f>
        <v>0</v>
      </c>
      <c r="S551" s="201">
        <f>'[1]NOV''25'!R561+O551-W551</f>
        <v>0</v>
      </c>
      <c r="T551" s="201">
        <f>'[1]NOV''25'!S561+P551-X551</f>
        <v>0</v>
      </c>
      <c r="U551" s="200">
        <f t="shared" si="114"/>
        <v>0</v>
      </c>
      <c r="V551" s="202">
        <v>283333.33333333302</v>
      </c>
      <c r="W551" s="203">
        <v>255000</v>
      </c>
      <c r="X551" s="203">
        <v>10000</v>
      </c>
      <c r="Y551" s="200">
        <f t="shared" si="118"/>
        <v>548333.33333333302</v>
      </c>
      <c r="Z551" s="207">
        <f t="shared" si="119"/>
        <v>9349999.9999999963</v>
      </c>
      <c r="AA551" s="96"/>
      <c r="AB551" s="96" t="e">
        <f>#REF!-#REF!</f>
        <v>#REF!</v>
      </c>
    </row>
    <row r="552" spans="2:28" s="55" customFormat="1" x14ac:dyDescent="0.3">
      <c r="B552" s="191">
        <v>426</v>
      </c>
      <c r="C552" s="205" t="s">
        <v>944</v>
      </c>
      <c r="D552" s="192"/>
      <c r="E552" s="208">
        <v>45912</v>
      </c>
      <c r="F552" s="192" t="s">
        <v>945</v>
      </c>
      <c r="G552" s="209" t="s">
        <v>843</v>
      </c>
      <c r="H552" s="194">
        <v>5600000</v>
      </c>
      <c r="I552" s="195">
        <v>2.5000000000000001E-2</v>
      </c>
      <c r="J552" s="206">
        <f t="shared" si="116"/>
        <v>3.0000028857142857</v>
      </c>
      <c r="K552" s="213">
        <v>36</v>
      </c>
      <c r="L552" s="198">
        <f t="shared" si="115"/>
        <v>8.3333413492063496E-2</v>
      </c>
      <c r="M552" s="194">
        <v>5288888.4400000004</v>
      </c>
      <c r="N552" s="199">
        <f t="shared" si="117"/>
        <v>155555.55555555556</v>
      </c>
      <c r="O552" s="200">
        <f t="shared" si="120"/>
        <v>140000</v>
      </c>
      <c r="P552" s="200">
        <v>10000</v>
      </c>
      <c r="Q552" s="200">
        <f t="shared" si="121"/>
        <v>305555.55555555556</v>
      </c>
      <c r="R552" s="201">
        <f>'[1]NOV''25'!Q562+N552-V552</f>
        <v>-0.448888889310183</v>
      </c>
      <c r="S552" s="201">
        <f>'[1]NOV''25'!R562+O552-W552</f>
        <v>0</v>
      </c>
      <c r="T552" s="201">
        <f>'[1]NOV''25'!S562+P552-X552</f>
        <v>0</v>
      </c>
      <c r="U552" s="200">
        <f t="shared" si="114"/>
        <v>-0.448888889310183</v>
      </c>
      <c r="V552" s="202">
        <v>155555.555555556</v>
      </c>
      <c r="W552" s="203">
        <v>140000</v>
      </c>
      <c r="X552" s="203">
        <v>10000</v>
      </c>
      <c r="Y552" s="200">
        <f t="shared" si="118"/>
        <v>305555.55555555597</v>
      </c>
      <c r="Z552" s="207">
        <f t="shared" si="119"/>
        <v>5133332.8844444444</v>
      </c>
      <c r="AA552" s="96"/>
      <c r="AB552" s="96" t="e">
        <f>#REF!-#REF!</f>
        <v>#REF!</v>
      </c>
    </row>
    <row r="553" spans="2:28" s="55" customFormat="1" x14ac:dyDescent="0.3">
      <c r="B553" s="191">
        <v>427</v>
      </c>
      <c r="C553" s="205" t="s">
        <v>946</v>
      </c>
      <c r="D553" s="192"/>
      <c r="E553" s="208">
        <v>45912</v>
      </c>
      <c r="F553" s="192" t="s">
        <v>210</v>
      </c>
      <c r="G553" s="209" t="s">
        <v>943</v>
      </c>
      <c r="H553" s="194">
        <v>6000000</v>
      </c>
      <c r="I553" s="195">
        <v>2.5000000000000001E-2</v>
      </c>
      <c r="J553" s="206">
        <f t="shared" si="116"/>
        <v>3.0000020000000207</v>
      </c>
      <c r="K553" s="213">
        <v>36</v>
      </c>
      <c r="L553" s="198">
        <f t="shared" si="115"/>
        <v>8.333338888888947E-2</v>
      </c>
      <c r="M553" s="194">
        <v>5833333.3333333302</v>
      </c>
      <c r="N553" s="199">
        <f t="shared" si="117"/>
        <v>166666.66666666666</v>
      </c>
      <c r="O553" s="200">
        <f t="shared" si="120"/>
        <v>150000</v>
      </c>
      <c r="P553" s="200">
        <v>10000</v>
      </c>
      <c r="Q553" s="200">
        <f t="shared" si="121"/>
        <v>326666.66666666663</v>
      </c>
      <c r="R553" s="201">
        <f>'[1]NOV''25'!Q563+N553-V553</f>
        <v>-0.33333333331393078</v>
      </c>
      <c r="S553" s="201">
        <f>'[1]NOV''25'!R563+O553-W553</f>
        <v>0</v>
      </c>
      <c r="T553" s="201">
        <f>'[1]NOV''25'!S563+P553-X553</f>
        <v>0</v>
      </c>
      <c r="U553" s="200">
        <f t="shared" si="114"/>
        <v>-0.33333333331393078</v>
      </c>
      <c r="V553" s="202">
        <f>166666.666666667+166667</f>
        <v>333333.66666666698</v>
      </c>
      <c r="W553" s="203">
        <f>150000+124939</f>
        <v>274939</v>
      </c>
      <c r="X553" s="203">
        <v>10000</v>
      </c>
      <c r="Y553" s="200">
        <f t="shared" si="118"/>
        <v>618272.66666666698</v>
      </c>
      <c r="Z553" s="207">
        <f t="shared" si="119"/>
        <v>5499999.6666666633</v>
      </c>
      <c r="AA553" s="96"/>
      <c r="AB553" s="96" t="e">
        <f>#REF!-#REF!</f>
        <v>#REF!</v>
      </c>
    </row>
    <row r="554" spans="2:28" s="55" customFormat="1" x14ac:dyDescent="0.3">
      <c r="B554" s="191">
        <v>428</v>
      </c>
      <c r="C554" s="205" t="s">
        <v>947</v>
      </c>
      <c r="D554" s="192"/>
      <c r="E554" s="208">
        <v>45915</v>
      </c>
      <c r="F554" s="192" t="s">
        <v>948</v>
      </c>
      <c r="G554" s="209" t="s">
        <v>949</v>
      </c>
      <c r="H554" s="194">
        <v>6300000</v>
      </c>
      <c r="I554" s="195">
        <v>2.5000000000000001E-2</v>
      </c>
      <c r="J554" s="206">
        <f t="shared" si="116"/>
        <v>3</v>
      </c>
      <c r="K554" s="213">
        <v>36</v>
      </c>
      <c r="L554" s="198">
        <f t="shared" si="115"/>
        <v>8.3333333333333329E-2</v>
      </c>
      <c r="M554" s="194">
        <v>5950000</v>
      </c>
      <c r="N554" s="199">
        <f t="shared" si="117"/>
        <v>175000</v>
      </c>
      <c r="O554" s="200">
        <f t="shared" si="120"/>
        <v>157500</v>
      </c>
      <c r="P554" s="200">
        <v>10000</v>
      </c>
      <c r="Q554" s="200">
        <f t="shared" si="121"/>
        <v>342500</v>
      </c>
      <c r="R554" s="201">
        <f>'[1]NOV''25'!Q564+N554-V554</f>
        <v>0</v>
      </c>
      <c r="S554" s="201">
        <f>'[1]NOV''25'!R564+O554-W554</f>
        <v>0</v>
      </c>
      <c r="T554" s="201">
        <f>'[1]NOV''25'!S564+P554-X554</f>
        <v>0</v>
      </c>
      <c r="U554" s="200">
        <f t="shared" si="114"/>
        <v>0</v>
      </c>
      <c r="V554" s="202">
        <v>175000</v>
      </c>
      <c r="W554" s="203">
        <v>157500</v>
      </c>
      <c r="X554" s="203">
        <v>10000</v>
      </c>
      <c r="Y554" s="200">
        <f t="shared" si="118"/>
        <v>342500</v>
      </c>
      <c r="Z554" s="207">
        <f t="shared" si="119"/>
        <v>5775000</v>
      </c>
      <c r="AA554" s="96"/>
      <c r="AB554" s="96" t="e">
        <f>#REF!-#REF!</f>
        <v>#REF!</v>
      </c>
    </row>
    <row r="555" spans="2:28" s="55" customFormat="1" x14ac:dyDescent="0.3">
      <c r="B555" s="191">
        <v>429</v>
      </c>
      <c r="C555" s="205" t="s">
        <v>950</v>
      </c>
      <c r="D555" s="192"/>
      <c r="E555" s="208">
        <v>45916</v>
      </c>
      <c r="F555" s="192" t="s">
        <v>951</v>
      </c>
      <c r="G555" s="209" t="s">
        <v>850</v>
      </c>
      <c r="H555" s="194">
        <v>5000000</v>
      </c>
      <c r="I555" s="195">
        <v>2.5000000000000001E-2</v>
      </c>
      <c r="J555" s="206">
        <f t="shared" si="116"/>
        <v>3.000000000000016</v>
      </c>
      <c r="K555" s="213">
        <v>36</v>
      </c>
      <c r="L555" s="198">
        <f t="shared" si="115"/>
        <v>8.3333333333333773E-2</v>
      </c>
      <c r="M555" s="194">
        <v>4722222.2222222202</v>
      </c>
      <c r="N555" s="199">
        <f t="shared" si="117"/>
        <v>138888.88888888888</v>
      </c>
      <c r="O555" s="200">
        <f t="shared" si="120"/>
        <v>125000</v>
      </c>
      <c r="P555" s="200">
        <v>10000</v>
      </c>
      <c r="Q555" s="200">
        <f t="shared" si="121"/>
        <v>273888.88888888888</v>
      </c>
      <c r="R555" s="201">
        <f>'[1]NOV''25'!Q565+N555-V555</f>
        <v>0</v>
      </c>
      <c r="S555" s="201">
        <f>'[1]NOV''25'!R565+O555-W555</f>
        <v>0</v>
      </c>
      <c r="T555" s="201">
        <f>'[1]NOV''25'!S565+P555-X555</f>
        <v>0</v>
      </c>
      <c r="U555" s="200">
        <f t="shared" si="114"/>
        <v>0</v>
      </c>
      <c r="V555" s="202">
        <v>138888.88888888899</v>
      </c>
      <c r="W555" s="203">
        <v>125000</v>
      </c>
      <c r="X555" s="203">
        <v>10000</v>
      </c>
      <c r="Y555" s="200">
        <f t="shared" si="118"/>
        <v>273888.88888888899</v>
      </c>
      <c r="Z555" s="207">
        <f t="shared" si="119"/>
        <v>4583333.3333333312</v>
      </c>
      <c r="AA555" s="96"/>
      <c r="AB555" s="96" t="e">
        <f>#REF!-#REF!</f>
        <v>#REF!</v>
      </c>
    </row>
    <row r="556" spans="2:28" s="55" customFormat="1" x14ac:dyDescent="0.3">
      <c r="B556" s="191">
        <v>430</v>
      </c>
      <c r="C556" s="205" t="s">
        <v>952</v>
      </c>
      <c r="D556" s="192"/>
      <c r="E556" s="208">
        <v>45916</v>
      </c>
      <c r="F556" s="192" t="s">
        <v>953</v>
      </c>
      <c r="G556" s="209" t="s">
        <v>850</v>
      </c>
      <c r="H556" s="194">
        <v>7200000</v>
      </c>
      <c r="I556" s="195">
        <v>2.5000000000000001E-2</v>
      </c>
      <c r="J556" s="206">
        <f t="shared" si="116"/>
        <v>3</v>
      </c>
      <c r="K556" s="213">
        <v>36</v>
      </c>
      <c r="L556" s="198">
        <f t="shared" si="115"/>
        <v>8.3333333333333329E-2</v>
      </c>
      <c r="M556" s="194">
        <v>6800000</v>
      </c>
      <c r="N556" s="199">
        <f t="shared" si="117"/>
        <v>200000</v>
      </c>
      <c r="O556" s="200">
        <f t="shared" si="120"/>
        <v>180000</v>
      </c>
      <c r="P556" s="200">
        <v>10000</v>
      </c>
      <c r="Q556" s="200">
        <f t="shared" si="121"/>
        <v>390000</v>
      </c>
      <c r="R556" s="201">
        <f>'[1]NOV''25'!Q566+N556-V556</f>
        <v>0</v>
      </c>
      <c r="S556" s="201">
        <f>'[1]NOV''25'!R566+O556-W556</f>
        <v>0</v>
      </c>
      <c r="T556" s="201">
        <f>'[1]NOV''25'!S566+P556-X556</f>
        <v>0</v>
      </c>
      <c r="U556" s="200">
        <f t="shared" si="114"/>
        <v>0</v>
      </c>
      <c r="V556" s="202">
        <v>200000</v>
      </c>
      <c r="W556" s="203">
        <v>180000</v>
      </c>
      <c r="X556" s="203">
        <v>10000</v>
      </c>
      <c r="Y556" s="200">
        <f t="shared" si="118"/>
        <v>390000</v>
      </c>
      <c r="Z556" s="207">
        <f t="shared" si="119"/>
        <v>6600000</v>
      </c>
      <c r="AA556" s="96"/>
      <c r="AB556" s="96" t="e">
        <f>#REF!-#REF!</f>
        <v>#REF!</v>
      </c>
    </row>
    <row r="557" spans="2:28" s="55" customFormat="1" x14ac:dyDescent="0.3">
      <c r="B557" s="191">
        <v>431</v>
      </c>
      <c r="C557" s="205" t="s">
        <v>954</v>
      </c>
      <c r="D557" s="192"/>
      <c r="E557" s="208">
        <v>45916</v>
      </c>
      <c r="F557" s="192" t="s">
        <v>955</v>
      </c>
      <c r="G557" s="209" t="s">
        <v>880</v>
      </c>
      <c r="H557" s="194">
        <v>6000000</v>
      </c>
      <c r="I557" s="195">
        <v>2.5000000000000001E-2</v>
      </c>
      <c r="J557" s="206">
        <f t="shared" si="116"/>
        <v>3.0000020000000207</v>
      </c>
      <c r="K557" s="213">
        <v>36</v>
      </c>
      <c r="L557" s="198">
        <f t="shared" si="115"/>
        <v>8.333338888888947E-2</v>
      </c>
      <c r="M557" s="194">
        <v>5753784.3333333302</v>
      </c>
      <c r="N557" s="199">
        <f t="shared" si="117"/>
        <v>166666.66666666666</v>
      </c>
      <c r="O557" s="200">
        <f t="shared" si="120"/>
        <v>150000</v>
      </c>
      <c r="P557" s="200">
        <v>10000</v>
      </c>
      <c r="Q557" s="200">
        <f t="shared" si="121"/>
        <v>326666.66666666663</v>
      </c>
      <c r="R557" s="201">
        <f>'[1]NOV''25'!Q567+N557-V557</f>
        <v>-0.33333333404152654</v>
      </c>
      <c r="S557" s="201">
        <f>'[1]NOV''25'!R567+O557-W557</f>
        <v>0</v>
      </c>
      <c r="T557" s="201">
        <f>'[1]NOV''25'!S567+P557-X557</f>
        <v>0</v>
      </c>
      <c r="U557" s="200">
        <f t="shared" si="114"/>
        <v>-0.33333333404152654</v>
      </c>
      <c r="V557" s="202">
        <f>166666.666666667+87118</f>
        <v>253784.66666666701</v>
      </c>
      <c r="W557" s="203">
        <v>150000</v>
      </c>
      <c r="X557" s="203">
        <v>10000</v>
      </c>
      <c r="Y557" s="200">
        <f t="shared" si="118"/>
        <v>413784.66666666698</v>
      </c>
      <c r="Z557" s="207">
        <f t="shared" si="119"/>
        <v>5499999.6666666633</v>
      </c>
      <c r="AA557" s="96"/>
      <c r="AB557" s="96" t="e">
        <f>#REF!-#REF!</f>
        <v>#REF!</v>
      </c>
    </row>
    <row r="558" spans="2:28" s="55" customFormat="1" x14ac:dyDescent="0.3">
      <c r="B558" s="191">
        <v>432</v>
      </c>
      <c r="C558" s="205" t="s">
        <v>956</v>
      </c>
      <c r="D558" s="192"/>
      <c r="E558" s="208">
        <v>45916</v>
      </c>
      <c r="F558" s="192" t="s">
        <v>208</v>
      </c>
      <c r="G558" s="209" t="s">
        <v>811</v>
      </c>
      <c r="H558" s="194">
        <v>14685000</v>
      </c>
      <c r="I558" s="195">
        <v>2.5000000000000001E-2</v>
      </c>
      <c r="J558" s="206">
        <f t="shared" si="116"/>
        <v>2.9999999999999178</v>
      </c>
      <c r="K558" s="213">
        <v>36</v>
      </c>
      <c r="L558" s="198">
        <f t="shared" si="115"/>
        <v>8.3333333333331053E-2</v>
      </c>
      <c r="M558" s="194">
        <v>13869166.6666667</v>
      </c>
      <c r="N558" s="199">
        <f t="shared" si="117"/>
        <v>407916.66666666669</v>
      </c>
      <c r="O558" s="200">
        <f t="shared" si="120"/>
        <v>367125</v>
      </c>
      <c r="P558" s="200">
        <v>10000</v>
      </c>
      <c r="Q558" s="200">
        <f t="shared" si="121"/>
        <v>785041.66666666674</v>
      </c>
      <c r="R558" s="201">
        <f>'[1]NOV''25'!Q568+N558-V558</f>
        <v>0</v>
      </c>
      <c r="S558" s="201">
        <f>'[1]NOV''25'!R568+O558-W558</f>
        <v>0</v>
      </c>
      <c r="T558" s="201">
        <f>'[1]NOV''25'!S568+P558-X558</f>
        <v>0</v>
      </c>
      <c r="U558" s="200">
        <f t="shared" si="114"/>
        <v>0</v>
      </c>
      <c r="V558" s="202">
        <v>407916.66666666698</v>
      </c>
      <c r="W558" s="203">
        <v>367125</v>
      </c>
      <c r="X558" s="203">
        <v>10000</v>
      </c>
      <c r="Y558" s="200">
        <f t="shared" si="118"/>
        <v>785041.66666666698</v>
      </c>
      <c r="Z558" s="207">
        <f t="shared" si="119"/>
        <v>13461250.000000034</v>
      </c>
      <c r="AA558" s="96"/>
      <c r="AB558" s="96" t="e">
        <f>#REF!-#REF!</f>
        <v>#REF!</v>
      </c>
    </row>
    <row r="559" spans="2:28" s="55" customFormat="1" x14ac:dyDescent="0.3">
      <c r="B559" s="191">
        <v>433</v>
      </c>
      <c r="C559" s="205" t="s">
        <v>957</v>
      </c>
      <c r="D559" s="192"/>
      <c r="E559" s="208">
        <v>45917</v>
      </c>
      <c r="F559" s="192" t="s">
        <v>958</v>
      </c>
      <c r="G559" s="209" t="s">
        <v>931</v>
      </c>
      <c r="H559" s="194">
        <v>6000000</v>
      </c>
      <c r="I559" s="195">
        <v>2.5000000000000001E-2</v>
      </c>
      <c r="J559" s="206">
        <f t="shared" si="116"/>
        <v>2.9999999999999836</v>
      </c>
      <c r="K559" s="213">
        <v>36</v>
      </c>
      <c r="L559" s="198">
        <f t="shared" si="115"/>
        <v>8.3333333333332871E-2</v>
      </c>
      <c r="M559" s="194">
        <v>5666666.6666666698</v>
      </c>
      <c r="N559" s="199">
        <f t="shared" si="117"/>
        <v>166666.66666666666</v>
      </c>
      <c r="O559" s="200">
        <f t="shared" si="120"/>
        <v>150000</v>
      </c>
      <c r="P559" s="200">
        <v>10000</v>
      </c>
      <c r="Q559" s="200">
        <f t="shared" si="121"/>
        <v>326666.66666666663</v>
      </c>
      <c r="R559" s="201">
        <f>'[1]NOV''25'!Q569+N559-V559</f>
        <v>-3.4924596548080444E-10</v>
      </c>
      <c r="S559" s="201">
        <f>'[1]NOV''25'!R569+O559-W559</f>
        <v>0</v>
      </c>
      <c r="T559" s="201">
        <f>'[1]NOV''25'!S569+P559-X559</f>
        <v>0</v>
      </c>
      <c r="U559" s="200">
        <f t="shared" si="114"/>
        <v>-3.4924596548080444E-10</v>
      </c>
      <c r="V559" s="202">
        <v>166666.66666666701</v>
      </c>
      <c r="W559" s="203">
        <v>150000</v>
      </c>
      <c r="X559" s="203">
        <v>10000</v>
      </c>
      <c r="Y559" s="200">
        <f t="shared" si="118"/>
        <v>326666.66666666698</v>
      </c>
      <c r="Z559" s="207">
        <f t="shared" si="119"/>
        <v>5500000.0000000028</v>
      </c>
      <c r="AA559" s="96"/>
      <c r="AB559" s="96" t="e">
        <f>#REF!-#REF!</f>
        <v>#REF!</v>
      </c>
    </row>
    <row r="560" spans="2:28" s="55" customFormat="1" x14ac:dyDescent="0.3">
      <c r="B560" s="191">
        <v>434</v>
      </c>
      <c r="C560" s="205" t="s">
        <v>959</v>
      </c>
      <c r="D560" s="192"/>
      <c r="E560" s="208">
        <v>45917</v>
      </c>
      <c r="F560" s="192" t="s">
        <v>960</v>
      </c>
      <c r="G560" s="209" t="s">
        <v>843</v>
      </c>
      <c r="H560" s="194">
        <v>10000000</v>
      </c>
      <c r="I560" s="195">
        <v>2.5000000000000001E-2</v>
      </c>
      <c r="J560" s="206">
        <f t="shared" si="116"/>
        <v>3.0000008000000085</v>
      </c>
      <c r="K560" s="213">
        <v>36</v>
      </c>
      <c r="L560" s="198">
        <f t="shared" si="115"/>
        <v>8.3333355555555794E-2</v>
      </c>
      <c r="M560" s="194">
        <v>9444444.2222222202</v>
      </c>
      <c r="N560" s="199">
        <f t="shared" si="117"/>
        <v>277777.77777777775</v>
      </c>
      <c r="O560" s="200">
        <f t="shared" si="120"/>
        <v>250000</v>
      </c>
      <c r="P560" s="200">
        <v>10000</v>
      </c>
      <c r="Q560" s="200">
        <f t="shared" si="121"/>
        <v>537777.77777777775</v>
      </c>
      <c r="R560" s="201">
        <f>'[1]NOV''25'!Q570+N560-V560</f>
        <v>-0.22222222248092294</v>
      </c>
      <c r="S560" s="201">
        <f>'[1]NOV''25'!R570+O560-W560</f>
        <v>0</v>
      </c>
      <c r="T560" s="201">
        <f>'[1]NOV''25'!S570+P560-X560</f>
        <v>0</v>
      </c>
      <c r="U560" s="200">
        <f t="shared" si="114"/>
        <v>-0.22222222248092294</v>
      </c>
      <c r="V560" s="202">
        <v>277777.77777777798</v>
      </c>
      <c r="W560" s="203">
        <v>250000</v>
      </c>
      <c r="X560" s="203">
        <v>10000</v>
      </c>
      <c r="Y560" s="200">
        <f t="shared" si="118"/>
        <v>537777.77777777798</v>
      </c>
      <c r="Z560" s="207">
        <f t="shared" si="119"/>
        <v>9166666.4444444422</v>
      </c>
      <c r="AA560" s="96"/>
      <c r="AB560" s="96" t="e">
        <f>#REF!-#REF!</f>
        <v>#REF!</v>
      </c>
    </row>
    <row r="561" spans="2:28" s="55" customFormat="1" x14ac:dyDescent="0.3">
      <c r="B561" s="191">
        <v>435</v>
      </c>
      <c r="C561" s="205" t="s">
        <v>961</v>
      </c>
      <c r="D561" s="192"/>
      <c r="E561" s="208">
        <v>45918</v>
      </c>
      <c r="F561" s="192" t="s">
        <v>962</v>
      </c>
      <c r="G561" s="209" t="s">
        <v>931</v>
      </c>
      <c r="H561" s="194">
        <v>10000000</v>
      </c>
      <c r="I561" s="195">
        <v>2.5000000000000001E-2</v>
      </c>
      <c r="J561" s="206">
        <f t="shared" si="116"/>
        <v>3.000000000000016</v>
      </c>
      <c r="K561" s="213">
        <v>36</v>
      </c>
      <c r="L561" s="198">
        <f t="shared" si="115"/>
        <v>8.3333333333333773E-2</v>
      </c>
      <c r="M561" s="194">
        <v>9444444.4444444403</v>
      </c>
      <c r="N561" s="199">
        <f t="shared" si="117"/>
        <v>277777.77777777775</v>
      </c>
      <c r="O561" s="200">
        <f t="shared" si="120"/>
        <v>250000</v>
      </c>
      <c r="P561" s="200">
        <v>10000</v>
      </c>
      <c r="Q561" s="200">
        <f t="shared" si="121"/>
        <v>537777.77777777775</v>
      </c>
      <c r="R561" s="201">
        <f>'[1]NOV''25'!Q571+N561-V561</f>
        <v>0</v>
      </c>
      <c r="S561" s="201">
        <f>'[1]NOV''25'!R571+O561-W561</f>
        <v>0</v>
      </c>
      <c r="T561" s="201">
        <f>'[1]NOV''25'!S571+P561-X561</f>
        <v>0</v>
      </c>
      <c r="U561" s="200">
        <f t="shared" si="114"/>
        <v>0</v>
      </c>
      <c r="V561" s="202">
        <v>277777.77777777798</v>
      </c>
      <c r="W561" s="203">
        <v>250000</v>
      </c>
      <c r="X561" s="203">
        <v>10000</v>
      </c>
      <c r="Y561" s="200">
        <f t="shared" si="118"/>
        <v>537777.77777777798</v>
      </c>
      <c r="Z561" s="207">
        <f t="shared" si="119"/>
        <v>9166666.6666666623</v>
      </c>
      <c r="AA561" s="96"/>
      <c r="AB561" s="96" t="e">
        <f>#REF!-#REF!</f>
        <v>#REF!</v>
      </c>
    </row>
    <row r="562" spans="2:28" s="55" customFormat="1" x14ac:dyDescent="0.3">
      <c r="B562" s="191">
        <v>436</v>
      </c>
      <c r="C562" s="205" t="s">
        <v>963</v>
      </c>
      <c r="D562" s="192"/>
      <c r="E562" s="208">
        <v>45919</v>
      </c>
      <c r="F562" s="192" t="s">
        <v>964</v>
      </c>
      <c r="G562" s="209" t="s">
        <v>931</v>
      </c>
      <c r="H562" s="194">
        <v>6800000</v>
      </c>
      <c r="I562" s="195">
        <v>2.5000000000000001E-2</v>
      </c>
      <c r="J562" s="206">
        <f t="shared" si="116"/>
        <v>3.0000000000000115</v>
      </c>
      <c r="K562" s="213">
        <v>36</v>
      </c>
      <c r="L562" s="198">
        <f t="shared" si="115"/>
        <v>8.3333333333333648E-2</v>
      </c>
      <c r="M562" s="194">
        <v>6422222.2222222202</v>
      </c>
      <c r="N562" s="199">
        <f t="shared" si="117"/>
        <v>188888.88888888888</v>
      </c>
      <c r="O562" s="200">
        <f t="shared" si="120"/>
        <v>170000</v>
      </c>
      <c r="P562" s="200">
        <v>10000</v>
      </c>
      <c r="Q562" s="200">
        <f t="shared" si="121"/>
        <v>368888.88888888888</v>
      </c>
      <c r="R562" s="201">
        <f>'[1]NOV''25'!Q572+N562-V562</f>
        <v>0</v>
      </c>
      <c r="S562" s="201">
        <f>'[1]NOV''25'!R572+O562-W562</f>
        <v>0</v>
      </c>
      <c r="T562" s="201">
        <f>'[1]NOV''25'!S572+P562-X562</f>
        <v>0</v>
      </c>
      <c r="U562" s="200">
        <f t="shared" si="114"/>
        <v>0</v>
      </c>
      <c r="V562" s="202">
        <v>188888.88888888899</v>
      </c>
      <c r="W562" s="203">
        <v>170000</v>
      </c>
      <c r="X562" s="203">
        <v>10000</v>
      </c>
      <c r="Y562" s="200">
        <f t="shared" si="118"/>
        <v>368888.88888888899</v>
      </c>
      <c r="Z562" s="207">
        <f t="shared" si="119"/>
        <v>6233333.3333333312</v>
      </c>
      <c r="AA562" s="96"/>
      <c r="AB562" s="96" t="e">
        <f>#REF!-#REF!</f>
        <v>#REF!</v>
      </c>
    </row>
    <row r="563" spans="2:28" s="55" customFormat="1" x14ac:dyDescent="0.3">
      <c r="B563" s="191">
        <v>437</v>
      </c>
      <c r="C563" s="205" t="s">
        <v>965</v>
      </c>
      <c r="D563" s="192"/>
      <c r="E563" s="208">
        <v>45919</v>
      </c>
      <c r="F563" s="192" t="s">
        <v>966</v>
      </c>
      <c r="G563" s="209" t="s">
        <v>931</v>
      </c>
      <c r="H563" s="194">
        <v>5480000</v>
      </c>
      <c r="I563" s="195">
        <v>2.5000000000000001E-2</v>
      </c>
      <c r="J563" s="206">
        <f t="shared" si="116"/>
        <v>2.9999999999999716</v>
      </c>
      <c r="K563" s="213">
        <v>36</v>
      </c>
      <c r="L563" s="198">
        <f t="shared" si="115"/>
        <v>8.3333333333332538E-2</v>
      </c>
      <c r="M563" s="194">
        <v>5175555.5555555597</v>
      </c>
      <c r="N563" s="199">
        <f t="shared" si="117"/>
        <v>152222.22222222222</v>
      </c>
      <c r="O563" s="200">
        <f t="shared" si="120"/>
        <v>137000</v>
      </c>
      <c r="P563" s="200">
        <v>10000</v>
      </c>
      <c r="Q563" s="200">
        <f t="shared" si="121"/>
        <v>299222.22222222225</v>
      </c>
      <c r="R563" s="201">
        <f>'[1]NOV''25'!Q573+N563-V563</f>
        <v>2.3283064365386963E-10</v>
      </c>
      <c r="S563" s="201">
        <f>'[1]NOV''25'!R573+O563-W563</f>
        <v>0</v>
      </c>
      <c r="T563" s="201">
        <f>'[1]NOV''25'!S573+P563-X563</f>
        <v>0</v>
      </c>
      <c r="U563" s="200">
        <f t="shared" si="114"/>
        <v>2.3283064365386963E-10</v>
      </c>
      <c r="V563" s="202">
        <v>152222.22222222199</v>
      </c>
      <c r="W563" s="203">
        <v>137000</v>
      </c>
      <c r="X563" s="203">
        <v>10000</v>
      </c>
      <c r="Y563" s="200">
        <f t="shared" si="118"/>
        <v>299222.22222222202</v>
      </c>
      <c r="Z563" s="207">
        <f t="shared" si="119"/>
        <v>5023333.3333333377</v>
      </c>
      <c r="AA563" s="96"/>
      <c r="AB563" s="96" t="e">
        <f>#REF!-#REF!</f>
        <v>#REF!</v>
      </c>
    </row>
    <row r="564" spans="2:28" s="55" customFormat="1" x14ac:dyDescent="0.3">
      <c r="B564" s="191">
        <v>439</v>
      </c>
      <c r="C564" s="205" t="s">
        <v>967</v>
      </c>
      <c r="D564" s="192"/>
      <c r="E564" s="208">
        <v>45925</v>
      </c>
      <c r="F564" s="192" t="s">
        <v>968</v>
      </c>
      <c r="G564" s="209" t="s">
        <v>931</v>
      </c>
      <c r="H564" s="194">
        <v>4500000</v>
      </c>
      <c r="I564" s="195">
        <v>2.5000000000000001E-2</v>
      </c>
      <c r="J564" s="206">
        <f t="shared" si="116"/>
        <v>3</v>
      </c>
      <c r="K564" s="213">
        <v>36</v>
      </c>
      <c r="L564" s="198">
        <f t="shared" si="115"/>
        <v>8.3333333333333329E-2</v>
      </c>
      <c r="M564" s="194">
        <v>4250000</v>
      </c>
      <c r="N564" s="199">
        <f t="shared" si="117"/>
        <v>125000</v>
      </c>
      <c r="O564" s="200">
        <f t="shared" si="120"/>
        <v>112500</v>
      </c>
      <c r="P564" s="200">
        <v>10000</v>
      </c>
      <c r="Q564" s="200">
        <f t="shared" si="121"/>
        <v>247500</v>
      </c>
      <c r="R564" s="201">
        <f>'[1]NOV''25'!Q575+N564-V564</f>
        <v>0</v>
      </c>
      <c r="S564" s="201">
        <f>'[1]NOV''25'!R575+O564-W564</f>
        <v>0</v>
      </c>
      <c r="T564" s="201">
        <f>'[1]NOV''25'!S575+P564-X564</f>
        <v>0</v>
      </c>
      <c r="U564" s="200">
        <f t="shared" si="114"/>
        <v>0</v>
      </c>
      <c r="V564" s="202">
        <v>125000</v>
      </c>
      <c r="W564" s="203">
        <v>112500</v>
      </c>
      <c r="X564" s="203">
        <v>10000</v>
      </c>
      <c r="Y564" s="200">
        <f t="shared" si="118"/>
        <v>247500</v>
      </c>
      <c r="Z564" s="207">
        <f t="shared" si="119"/>
        <v>4125000</v>
      </c>
      <c r="AA564" s="96"/>
      <c r="AB564" s="96" t="e">
        <f>#REF!-#REF!</f>
        <v>#REF!</v>
      </c>
    </row>
    <row r="565" spans="2:28" s="55" customFormat="1" x14ac:dyDescent="0.3">
      <c r="B565" s="191">
        <v>440</v>
      </c>
      <c r="C565" s="205" t="s">
        <v>969</v>
      </c>
      <c r="D565" s="192"/>
      <c r="E565" s="208">
        <v>45925</v>
      </c>
      <c r="F565" s="192" t="s">
        <v>970</v>
      </c>
      <c r="G565" s="209" t="s">
        <v>971</v>
      </c>
      <c r="H565" s="194">
        <v>1809000</v>
      </c>
      <c r="I565" s="195">
        <v>2.5000000000000001E-2</v>
      </c>
      <c r="J565" s="206">
        <f t="shared" si="116"/>
        <v>3</v>
      </c>
      <c r="K565" s="213">
        <v>36</v>
      </c>
      <c r="L565" s="198">
        <f t="shared" si="115"/>
        <v>8.3333333333333329E-2</v>
      </c>
      <c r="M565" s="194">
        <v>1708500</v>
      </c>
      <c r="N565" s="199">
        <f t="shared" si="117"/>
        <v>50250</v>
      </c>
      <c r="O565" s="200">
        <f t="shared" si="120"/>
        <v>45225</v>
      </c>
      <c r="P565" s="200">
        <v>10000</v>
      </c>
      <c r="Q565" s="200">
        <f t="shared" si="121"/>
        <v>105475</v>
      </c>
      <c r="R565" s="201">
        <f>'[1]NOV''25'!Q576+N565-V565</f>
        <v>0</v>
      </c>
      <c r="S565" s="201">
        <f>'[1]NOV''25'!R576+O565-W565</f>
        <v>0</v>
      </c>
      <c r="T565" s="201">
        <f>'[1]NOV''25'!S576+P565-X565</f>
        <v>0</v>
      </c>
      <c r="U565" s="200">
        <f t="shared" si="114"/>
        <v>0</v>
      </c>
      <c r="V565" s="202">
        <v>50250</v>
      </c>
      <c r="W565" s="203">
        <v>45225</v>
      </c>
      <c r="X565" s="203">
        <v>10000</v>
      </c>
      <c r="Y565" s="200">
        <f t="shared" si="118"/>
        <v>105475</v>
      </c>
      <c r="Z565" s="207">
        <f t="shared" si="119"/>
        <v>1658250</v>
      </c>
      <c r="AA565" s="96"/>
      <c r="AB565" s="96" t="e">
        <f>#REF!-#REF!</f>
        <v>#REF!</v>
      </c>
    </row>
    <row r="566" spans="2:28" s="55" customFormat="1" x14ac:dyDescent="0.3">
      <c r="B566" s="191">
        <v>441</v>
      </c>
      <c r="C566" s="205" t="s">
        <v>972</v>
      </c>
      <c r="D566" s="192"/>
      <c r="E566" s="208">
        <v>45932</v>
      </c>
      <c r="F566" s="192" t="s">
        <v>973</v>
      </c>
      <c r="G566" s="209" t="s">
        <v>701</v>
      </c>
      <c r="H566" s="194">
        <v>3500000</v>
      </c>
      <c r="I566" s="195">
        <v>2.5000000000000001E-2</v>
      </c>
      <c r="J566" s="206">
        <f t="shared" si="116"/>
        <v>1.9999999999999767</v>
      </c>
      <c r="K566" s="213">
        <v>36</v>
      </c>
      <c r="L566" s="198">
        <f t="shared" si="115"/>
        <v>5.5555555555554907E-2</v>
      </c>
      <c r="M566" s="194">
        <v>3402777.7777777798</v>
      </c>
      <c r="N566" s="199">
        <f t="shared" si="117"/>
        <v>97222.222222222219</v>
      </c>
      <c r="O566" s="200">
        <f t="shared" si="120"/>
        <v>87500</v>
      </c>
      <c r="P566" s="200">
        <v>10000</v>
      </c>
      <c r="Q566" s="200">
        <f t="shared" si="121"/>
        <v>194722.22222222222</v>
      </c>
      <c r="R566" s="201">
        <f>'[1]NOV''25'!Q577+N566-V566</f>
        <v>0</v>
      </c>
      <c r="S566" s="201">
        <f>'[1]NOV''25'!R577+O566-W566</f>
        <v>0</v>
      </c>
      <c r="T566" s="201">
        <f>'[1]NOV''25'!S577+P566-X566</f>
        <v>0</v>
      </c>
      <c r="U566" s="200">
        <f t="shared" si="114"/>
        <v>0</v>
      </c>
      <c r="V566" s="202">
        <v>97222.222222222204</v>
      </c>
      <c r="W566" s="203">
        <v>87500</v>
      </c>
      <c r="X566" s="203">
        <v>10000</v>
      </c>
      <c r="Y566" s="200">
        <f t="shared" si="118"/>
        <v>194722.22222222219</v>
      </c>
      <c r="Z566" s="207">
        <f t="shared" si="119"/>
        <v>3305555.5555555578</v>
      </c>
      <c r="AA566" s="96"/>
      <c r="AB566" s="96" t="e">
        <f>#REF!-#REF!</f>
        <v>#REF!</v>
      </c>
    </row>
    <row r="567" spans="2:28" s="55" customFormat="1" x14ac:dyDescent="0.3">
      <c r="B567" s="191">
        <v>442</v>
      </c>
      <c r="C567" s="205" t="s">
        <v>974</v>
      </c>
      <c r="D567" s="192"/>
      <c r="E567" s="208">
        <v>45932</v>
      </c>
      <c r="F567" s="192" t="s">
        <v>975</v>
      </c>
      <c r="G567" s="209" t="s">
        <v>976</v>
      </c>
      <c r="H567" s="194">
        <v>7750000</v>
      </c>
      <c r="I567" s="195">
        <v>2.5000000000000001E-2</v>
      </c>
      <c r="J567" s="206">
        <f t="shared" si="116"/>
        <v>2.0000000000000107</v>
      </c>
      <c r="K567" s="213">
        <v>36</v>
      </c>
      <c r="L567" s="198">
        <f t="shared" si="115"/>
        <v>5.5555555555555851E-2</v>
      </c>
      <c r="M567" s="194">
        <v>7534722.2222222202</v>
      </c>
      <c r="N567" s="199">
        <f t="shared" si="117"/>
        <v>215277.77777777778</v>
      </c>
      <c r="O567" s="200">
        <f t="shared" si="120"/>
        <v>193750</v>
      </c>
      <c r="P567" s="200">
        <v>10000</v>
      </c>
      <c r="Q567" s="200">
        <f t="shared" si="121"/>
        <v>419027.77777777775</v>
      </c>
      <c r="R567" s="201">
        <f>'[1]NOV''25'!Q578+N567-V567</f>
        <v>-2.3283064365386963E-10</v>
      </c>
      <c r="S567" s="201">
        <f>'[1]NOV''25'!R578+O567-W567</f>
        <v>0</v>
      </c>
      <c r="T567" s="201">
        <f>'[1]NOV''25'!S578+P567-X567</f>
        <v>0</v>
      </c>
      <c r="U567" s="200">
        <f t="shared" si="114"/>
        <v>-2.3283064365386963E-10</v>
      </c>
      <c r="V567" s="202">
        <v>215277.77777777801</v>
      </c>
      <c r="W567" s="203">
        <v>193750</v>
      </c>
      <c r="X567" s="203">
        <v>10000</v>
      </c>
      <c r="Y567" s="200">
        <f t="shared" si="118"/>
        <v>419027.77777777798</v>
      </c>
      <c r="Z567" s="207">
        <f t="shared" ref="Z567:Z591" si="122">SUM(M567-V567)</f>
        <v>7319444.4444444422</v>
      </c>
      <c r="AA567" s="96"/>
      <c r="AB567" s="96" t="e">
        <f>#REF!-#REF!</f>
        <v>#REF!</v>
      </c>
    </row>
    <row r="568" spans="2:28" s="55" customFormat="1" x14ac:dyDescent="0.3">
      <c r="B568" s="191">
        <v>443</v>
      </c>
      <c r="C568" s="205" t="s">
        <v>977</v>
      </c>
      <c r="D568" s="192"/>
      <c r="E568" s="208">
        <v>45933</v>
      </c>
      <c r="F568" s="192" t="s">
        <v>978</v>
      </c>
      <c r="G568" s="209" t="s">
        <v>979</v>
      </c>
      <c r="H568" s="194">
        <v>13000000</v>
      </c>
      <c r="I568" s="195">
        <v>2.5000000000000001E-2</v>
      </c>
      <c r="J568" s="206">
        <f t="shared" si="116"/>
        <v>1.9999999999999736</v>
      </c>
      <c r="K568" s="213">
        <v>36</v>
      </c>
      <c r="L568" s="198">
        <f t="shared" si="115"/>
        <v>5.5555555555554824E-2</v>
      </c>
      <c r="M568" s="194">
        <v>12638888.888888899</v>
      </c>
      <c r="N568" s="199">
        <f t="shared" si="117"/>
        <v>361111.11111111112</v>
      </c>
      <c r="O568" s="200">
        <f t="shared" ref="O568:O609" si="123">SUM(H568*I568)</f>
        <v>325000</v>
      </c>
      <c r="P568" s="200">
        <v>10000</v>
      </c>
      <c r="Q568" s="200">
        <f t="shared" si="121"/>
        <v>696111.11111111112</v>
      </c>
      <c r="R568" s="201">
        <f>'[1]NOV''25'!Q579+N568-V568</f>
        <v>0</v>
      </c>
      <c r="S568" s="201">
        <f>'[1]NOV''25'!R579+O568-W568</f>
        <v>0</v>
      </c>
      <c r="T568" s="201">
        <f>'[1]NOV''25'!S579+P568-X568</f>
        <v>0</v>
      </c>
      <c r="U568" s="200">
        <f t="shared" si="114"/>
        <v>0</v>
      </c>
      <c r="V568" s="202">
        <v>361111.11111111101</v>
      </c>
      <c r="W568" s="203">
        <v>325000</v>
      </c>
      <c r="X568" s="203">
        <v>10000</v>
      </c>
      <c r="Y568" s="200">
        <f t="shared" si="118"/>
        <v>696111.11111111101</v>
      </c>
      <c r="Z568" s="207">
        <f t="shared" si="122"/>
        <v>12277777.777777787</v>
      </c>
      <c r="AA568" s="96"/>
      <c r="AB568" s="96" t="e">
        <f>#REF!-#REF!</f>
        <v>#REF!</v>
      </c>
    </row>
    <row r="569" spans="2:28" s="55" customFormat="1" x14ac:dyDescent="0.3">
      <c r="B569" s="191">
        <v>444</v>
      </c>
      <c r="C569" s="205" t="s">
        <v>980</v>
      </c>
      <c r="D569" s="192"/>
      <c r="E569" s="208">
        <v>45934</v>
      </c>
      <c r="F569" s="192" t="s">
        <v>981</v>
      </c>
      <c r="G569" s="209" t="s">
        <v>982</v>
      </c>
      <c r="H569" s="194">
        <v>5000000</v>
      </c>
      <c r="I569" s="195">
        <v>2.5000000000000001E-2</v>
      </c>
      <c r="J569" s="206">
        <f t="shared" si="116"/>
        <v>2.0000000000000084</v>
      </c>
      <c r="K569" s="213">
        <v>36</v>
      </c>
      <c r="L569" s="198">
        <f t="shared" si="115"/>
        <v>5.5555555555555788E-2</v>
      </c>
      <c r="M569" s="194">
        <v>4861111.1111111101</v>
      </c>
      <c r="N569" s="199">
        <f t="shared" si="117"/>
        <v>138888.88888888888</v>
      </c>
      <c r="O569" s="200">
        <f t="shared" si="123"/>
        <v>125000</v>
      </c>
      <c r="P569" s="200">
        <v>10000</v>
      </c>
      <c r="Q569" s="200">
        <f t="shared" si="121"/>
        <v>273888.88888888888</v>
      </c>
      <c r="R569" s="201">
        <f>'[1]NOV''25'!Q580+N569-V569</f>
        <v>0</v>
      </c>
      <c r="S569" s="201">
        <f>'[1]NOV''25'!R580+O569-W569</f>
        <v>0</v>
      </c>
      <c r="T569" s="201">
        <f>'[1]NOV''25'!S580+P569-X569</f>
        <v>0</v>
      </c>
      <c r="U569" s="200">
        <f t="shared" si="114"/>
        <v>0</v>
      </c>
      <c r="V569" s="202">
        <v>138888.88888888899</v>
      </c>
      <c r="W569" s="203">
        <v>125000</v>
      </c>
      <c r="X569" s="203">
        <v>10000</v>
      </c>
      <c r="Y569" s="200">
        <f t="shared" si="118"/>
        <v>273888.88888888899</v>
      </c>
      <c r="Z569" s="207">
        <f t="shared" si="122"/>
        <v>4722222.2222222211</v>
      </c>
      <c r="AA569" s="96"/>
      <c r="AB569" s="96" t="e">
        <f>#REF!-#REF!</f>
        <v>#REF!</v>
      </c>
    </row>
    <row r="570" spans="2:28" s="55" customFormat="1" x14ac:dyDescent="0.3">
      <c r="B570" s="191">
        <v>445</v>
      </c>
      <c r="C570" s="205" t="s">
        <v>983</v>
      </c>
      <c r="D570" s="192"/>
      <c r="E570" s="208">
        <v>45936</v>
      </c>
      <c r="F570" s="192" t="s">
        <v>984</v>
      </c>
      <c r="G570" s="209" t="s">
        <v>843</v>
      </c>
      <c r="H570" s="194">
        <v>10000000</v>
      </c>
      <c r="I570" s="195">
        <v>2.5000000000000001E-2</v>
      </c>
      <c r="J570" s="206">
        <f t="shared" si="116"/>
        <v>2.0000000000000084</v>
      </c>
      <c r="K570" s="213">
        <v>36</v>
      </c>
      <c r="L570" s="198">
        <f t="shared" si="115"/>
        <v>5.5555555555555788E-2</v>
      </c>
      <c r="M570" s="194">
        <v>9722222.2222222202</v>
      </c>
      <c r="N570" s="199">
        <f t="shared" si="117"/>
        <v>277777.77777777775</v>
      </c>
      <c r="O570" s="200">
        <f t="shared" si="123"/>
        <v>250000</v>
      </c>
      <c r="P570" s="200">
        <v>10000</v>
      </c>
      <c r="Q570" s="200">
        <f t="shared" si="121"/>
        <v>537777.77777777775</v>
      </c>
      <c r="R570" s="201">
        <f>'[1]NOV''25'!Q581+N570-V570</f>
        <v>0</v>
      </c>
      <c r="S570" s="201">
        <f>'[1]NOV''25'!R581+O570-W570</f>
        <v>0</v>
      </c>
      <c r="T570" s="201">
        <f>'[1]NOV''25'!S581+P570-X570</f>
        <v>0</v>
      </c>
      <c r="U570" s="200">
        <f t="shared" si="114"/>
        <v>0</v>
      </c>
      <c r="V570" s="202">
        <v>277777.77777777798</v>
      </c>
      <c r="W570" s="203">
        <v>250000</v>
      </c>
      <c r="X570" s="203">
        <v>10000</v>
      </c>
      <c r="Y570" s="200">
        <f t="shared" si="118"/>
        <v>537777.77777777798</v>
      </c>
      <c r="Z570" s="207">
        <f t="shared" si="122"/>
        <v>9444444.4444444422</v>
      </c>
      <c r="AA570" s="96"/>
      <c r="AB570" s="96" t="e">
        <f>#REF!-#REF!</f>
        <v>#REF!</v>
      </c>
    </row>
    <row r="571" spans="2:28" s="55" customFormat="1" x14ac:dyDescent="0.3">
      <c r="B571" s="191">
        <v>446</v>
      </c>
      <c r="C571" s="205" t="s">
        <v>985</v>
      </c>
      <c r="D571" s="192"/>
      <c r="E571" s="208">
        <v>45936</v>
      </c>
      <c r="F571" s="192" t="s">
        <v>986</v>
      </c>
      <c r="G571" s="209" t="s">
        <v>298</v>
      </c>
      <c r="H571" s="194">
        <v>6500000</v>
      </c>
      <c r="I571" s="195">
        <v>2.5000000000000001E-2</v>
      </c>
      <c r="J571" s="206">
        <f t="shared" si="116"/>
        <v>1.9999999999999978</v>
      </c>
      <c r="K571" s="213">
        <v>24</v>
      </c>
      <c r="L571" s="198">
        <f t="shared" si="115"/>
        <v>8.3333333333333245E-2</v>
      </c>
      <c r="M571" s="194">
        <v>6500000</v>
      </c>
      <c r="N571" s="199">
        <f t="shared" si="117"/>
        <v>270833.33333333331</v>
      </c>
      <c r="O571" s="200">
        <f t="shared" si="123"/>
        <v>162500</v>
      </c>
      <c r="P571" s="200">
        <v>10000</v>
      </c>
      <c r="Q571" s="200">
        <f t="shared" si="121"/>
        <v>443333.33333333331</v>
      </c>
      <c r="R571" s="201">
        <f>'[1]NOV''25'!Q582+N571-V571</f>
        <v>0</v>
      </c>
      <c r="S571" s="201">
        <f>'[1]NOV''25'!R582+O571-W571</f>
        <v>0</v>
      </c>
      <c r="T571" s="201">
        <f>'[1]NOV''25'!S582+P571-X571</f>
        <v>0</v>
      </c>
      <c r="U571" s="200">
        <f t="shared" si="114"/>
        <v>0</v>
      </c>
      <c r="V571" s="202">
        <f>270833.333333333+270833.333333333</f>
        <v>541666.66666666605</v>
      </c>
      <c r="W571" s="203">
        <f>162500+155805</f>
        <v>318305</v>
      </c>
      <c r="X571" s="203">
        <f>10000+10000</f>
        <v>20000</v>
      </c>
      <c r="Y571" s="200">
        <f t="shared" si="118"/>
        <v>879971.66666666605</v>
      </c>
      <c r="Z571" s="207">
        <f t="shared" si="122"/>
        <v>5958333.333333334</v>
      </c>
      <c r="AA571" s="96"/>
      <c r="AB571" s="96" t="e">
        <f>#REF!-#REF!</f>
        <v>#REF!</v>
      </c>
    </row>
    <row r="572" spans="2:28" s="55" customFormat="1" x14ac:dyDescent="0.3">
      <c r="B572" s="191">
        <v>447</v>
      </c>
      <c r="C572" s="205" t="s">
        <v>987</v>
      </c>
      <c r="D572" s="192"/>
      <c r="E572" s="208">
        <v>45937</v>
      </c>
      <c r="F572" s="192" t="s">
        <v>988</v>
      </c>
      <c r="G572" s="209" t="s">
        <v>989</v>
      </c>
      <c r="H572" s="194">
        <v>10600000</v>
      </c>
      <c r="I572" s="195">
        <v>2.5000000000000001E-2</v>
      </c>
      <c r="J572" s="206">
        <f t="shared" si="116"/>
        <v>1.9999999999998455</v>
      </c>
      <c r="K572" s="213">
        <v>36</v>
      </c>
      <c r="L572" s="198">
        <f t="shared" si="115"/>
        <v>5.5555555555551264E-2</v>
      </c>
      <c r="M572" s="194">
        <v>10305555.555555601</v>
      </c>
      <c r="N572" s="199">
        <f t="shared" si="117"/>
        <v>294444.44444444444</v>
      </c>
      <c r="O572" s="200">
        <f t="shared" si="123"/>
        <v>265000</v>
      </c>
      <c r="P572" s="200">
        <v>10000</v>
      </c>
      <c r="Q572" s="200">
        <f t="shared" si="121"/>
        <v>569444.4444444445</v>
      </c>
      <c r="R572" s="201">
        <f>'[1]NOV''25'!Q583+N572-V572</f>
        <v>4.6566128730773926E-10</v>
      </c>
      <c r="S572" s="201">
        <f>'[1]NOV''25'!R583+O572-W572</f>
        <v>0</v>
      </c>
      <c r="T572" s="201">
        <f>'[1]NOV''25'!S583+P572-X572</f>
        <v>0</v>
      </c>
      <c r="U572" s="200">
        <f t="shared" si="114"/>
        <v>4.6566128730773926E-10</v>
      </c>
      <c r="V572" s="202">
        <v>294444.44444444397</v>
      </c>
      <c r="W572" s="203">
        <v>265000</v>
      </c>
      <c r="X572" s="203">
        <v>10000</v>
      </c>
      <c r="Y572" s="200">
        <f t="shared" si="118"/>
        <v>569444.44444444403</v>
      </c>
      <c r="Z572" s="207">
        <f t="shared" si="122"/>
        <v>10011111.111111157</v>
      </c>
      <c r="AA572" s="96"/>
      <c r="AB572" s="96" t="e">
        <f>#REF!-#REF!</f>
        <v>#REF!</v>
      </c>
    </row>
    <row r="573" spans="2:28" s="55" customFormat="1" x14ac:dyDescent="0.3">
      <c r="B573" s="191">
        <v>448</v>
      </c>
      <c r="C573" s="205" t="s">
        <v>990</v>
      </c>
      <c r="D573" s="192"/>
      <c r="E573" s="208">
        <v>45938</v>
      </c>
      <c r="F573" s="192" t="s">
        <v>991</v>
      </c>
      <c r="G573" s="209" t="s">
        <v>992</v>
      </c>
      <c r="H573" s="194">
        <v>9800000</v>
      </c>
      <c r="I573" s="195">
        <v>2.5000000000000001E-2</v>
      </c>
      <c r="J573" s="206">
        <f t="shared" si="116"/>
        <v>1.9999991836734685</v>
      </c>
      <c r="K573" s="213">
        <v>36</v>
      </c>
      <c r="L573" s="198">
        <f t="shared" si="115"/>
        <v>5.555553287981857E-2</v>
      </c>
      <c r="M573" s="194">
        <v>9527778</v>
      </c>
      <c r="N573" s="199">
        <f t="shared" si="117"/>
        <v>272222.22222222225</v>
      </c>
      <c r="O573" s="200">
        <f t="shared" si="123"/>
        <v>245000</v>
      </c>
      <c r="P573" s="200">
        <v>10000</v>
      </c>
      <c r="Q573" s="200">
        <f t="shared" si="121"/>
        <v>527222.22222222225</v>
      </c>
      <c r="R573" s="201">
        <f>'[1]NOV''25'!Q584+N573-V573</f>
        <v>0.22222222248092294</v>
      </c>
      <c r="S573" s="201">
        <f>'[1]NOV''25'!R584+O573-W573</f>
        <v>0</v>
      </c>
      <c r="T573" s="201">
        <f>'[1]NOV''25'!S584+P573-X573</f>
        <v>0</v>
      </c>
      <c r="U573" s="200">
        <f t="shared" si="114"/>
        <v>0.22222222248092294</v>
      </c>
      <c r="V573" s="202">
        <v>272222.22222222202</v>
      </c>
      <c r="W573" s="203">
        <v>245000</v>
      </c>
      <c r="X573" s="203">
        <v>10000</v>
      </c>
      <c r="Y573" s="200">
        <f t="shared" si="118"/>
        <v>527222.22222222202</v>
      </c>
      <c r="Z573" s="207">
        <f t="shared" si="122"/>
        <v>9255555.777777778</v>
      </c>
      <c r="AA573" s="96"/>
      <c r="AB573" s="96" t="e">
        <f>#REF!-#REF!</f>
        <v>#REF!</v>
      </c>
    </row>
    <row r="574" spans="2:28" s="55" customFormat="1" x14ac:dyDescent="0.3">
      <c r="B574" s="191">
        <v>449</v>
      </c>
      <c r="C574" s="205" t="s">
        <v>993</v>
      </c>
      <c r="D574" s="192"/>
      <c r="E574" s="208">
        <v>45938</v>
      </c>
      <c r="F574" s="192" t="s">
        <v>994</v>
      </c>
      <c r="G574" s="209" t="s">
        <v>995</v>
      </c>
      <c r="H574" s="194">
        <v>3200000</v>
      </c>
      <c r="I574" s="195">
        <v>2.5000000000000001E-2</v>
      </c>
      <c r="J574" s="206">
        <f t="shared" si="116"/>
        <v>2.0000000000000129</v>
      </c>
      <c r="K574" s="213">
        <v>36</v>
      </c>
      <c r="L574" s="198">
        <f t="shared" si="115"/>
        <v>5.5555555555555913E-2</v>
      </c>
      <c r="M574" s="194">
        <v>3111111.1111111101</v>
      </c>
      <c r="N574" s="199">
        <f t="shared" si="117"/>
        <v>88888.888888888891</v>
      </c>
      <c r="O574" s="200">
        <f t="shared" si="123"/>
        <v>80000</v>
      </c>
      <c r="P574" s="200">
        <v>10000</v>
      </c>
      <c r="Q574" s="200">
        <f t="shared" si="121"/>
        <v>178888.88888888888</v>
      </c>
      <c r="R574" s="201">
        <f>'[1]NOV''25'!Q585+N574-V574</f>
        <v>0</v>
      </c>
      <c r="S574" s="201">
        <f>'[1]NOV''25'!R585+O574-W574</f>
        <v>0</v>
      </c>
      <c r="T574" s="201">
        <f>'[1]NOV''25'!S585+P574-X574</f>
        <v>0</v>
      </c>
      <c r="U574" s="200">
        <f t="shared" si="114"/>
        <v>0</v>
      </c>
      <c r="V574" s="202">
        <v>88888.888888888905</v>
      </c>
      <c r="W574" s="203">
        <v>80000</v>
      </c>
      <c r="X574" s="203">
        <v>10000</v>
      </c>
      <c r="Y574" s="200">
        <f t="shared" si="118"/>
        <v>178888.88888888891</v>
      </c>
      <c r="Z574" s="207">
        <f t="shared" si="122"/>
        <v>3022222.2222222211</v>
      </c>
      <c r="AA574" s="96"/>
      <c r="AB574" s="96" t="e">
        <f>#REF!-#REF!</f>
        <v>#REF!</v>
      </c>
    </row>
    <row r="575" spans="2:28" s="55" customFormat="1" x14ac:dyDescent="0.3">
      <c r="B575" s="191">
        <v>450</v>
      </c>
      <c r="C575" s="205" t="s">
        <v>996</v>
      </c>
      <c r="D575" s="192"/>
      <c r="E575" s="208">
        <v>45938</v>
      </c>
      <c r="F575" s="192" t="s">
        <v>997</v>
      </c>
      <c r="G575" s="209" t="s">
        <v>982</v>
      </c>
      <c r="H575" s="194">
        <v>8000000</v>
      </c>
      <c r="I575" s="195">
        <v>2.5000000000000001E-2</v>
      </c>
      <c r="J575" s="206">
        <f t="shared" si="116"/>
        <v>1.9999999999999898</v>
      </c>
      <c r="K575" s="213">
        <v>36</v>
      </c>
      <c r="L575" s="198">
        <f t="shared" si="115"/>
        <v>5.5555555555555275E-2</v>
      </c>
      <c r="M575" s="194">
        <v>7777777.7777777798</v>
      </c>
      <c r="N575" s="199">
        <f t="shared" si="117"/>
        <v>222222.22222222222</v>
      </c>
      <c r="O575" s="200">
        <f t="shared" si="123"/>
        <v>200000</v>
      </c>
      <c r="P575" s="200">
        <v>10000</v>
      </c>
      <c r="Q575" s="200">
        <f t="shared" si="121"/>
        <v>432222.22222222225</v>
      </c>
      <c r="R575" s="201">
        <f>'[1]NOV''25'!Q586+N575-V575</f>
        <v>2.3283064365386963E-10</v>
      </c>
      <c r="S575" s="201">
        <f>'[1]NOV''25'!R586+O575-W575</f>
        <v>0</v>
      </c>
      <c r="T575" s="201">
        <f>'[1]NOV''25'!S586+P575-X575</f>
        <v>0</v>
      </c>
      <c r="U575" s="200">
        <f t="shared" si="114"/>
        <v>2.3283064365386963E-10</v>
      </c>
      <c r="V575" s="202">
        <v>222222.22222222199</v>
      </c>
      <c r="W575" s="203">
        <v>200000</v>
      </c>
      <c r="X575" s="203">
        <v>10000</v>
      </c>
      <c r="Y575" s="200">
        <f t="shared" si="118"/>
        <v>432222.22222222202</v>
      </c>
      <c r="Z575" s="207">
        <f t="shared" si="122"/>
        <v>7555555.5555555578</v>
      </c>
      <c r="AA575" s="96"/>
      <c r="AB575" s="96" t="e">
        <f>#REF!-#REF!</f>
        <v>#REF!</v>
      </c>
    </row>
    <row r="576" spans="2:28" s="55" customFormat="1" x14ac:dyDescent="0.3">
      <c r="B576" s="191">
        <v>451</v>
      </c>
      <c r="C576" s="205" t="s">
        <v>998</v>
      </c>
      <c r="D576" s="192"/>
      <c r="E576" s="208">
        <v>45939</v>
      </c>
      <c r="F576" s="192" t="s">
        <v>999</v>
      </c>
      <c r="G576" s="209" t="s">
        <v>982</v>
      </c>
      <c r="H576" s="194">
        <v>9100000</v>
      </c>
      <c r="I576" s="195">
        <v>2.5000000000000001E-2</v>
      </c>
      <c r="J576" s="206">
        <f t="shared" si="116"/>
        <v>2.0000000000000089</v>
      </c>
      <c r="K576" s="213">
        <v>36</v>
      </c>
      <c r="L576" s="198">
        <f t="shared" si="115"/>
        <v>5.5555555555555802E-2</v>
      </c>
      <c r="M576" s="194">
        <v>8847222.2222222202</v>
      </c>
      <c r="N576" s="199">
        <f t="shared" si="117"/>
        <v>252777.77777777778</v>
      </c>
      <c r="O576" s="200">
        <f t="shared" si="123"/>
        <v>227500</v>
      </c>
      <c r="P576" s="200">
        <v>10000</v>
      </c>
      <c r="Q576" s="200">
        <f t="shared" si="121"/>
        <v>490277.77777777775</v>
      </c>
      <c r="R576" s="201">
        <f>'[1]NOV''25'!Q587+N576-V576</f>
        <v>-2.3283064365386963E-10</v>
      </c>
      <c r="S576" s="201">
        <f>'[1]NOV''25'!R587+O576-W576</f>
        <v>0</v>
      </c>
      <c r="T576" s="201">
        <f>'[1]NOV''25'!S587+P576-X576</f>
        <v>0</v>
      </c>
      <c r="U576" s="200">
        <f t="shared" si="114"/>
        <v>-2.3283064365386963E-10</v>
      </c>
      <c r="V576" s="202">
        <v>252777.77777777801</v>
      </c>
      <c r="W576" s="203">
        <v>227500</v>
      </c>
      <c r="X576" s="203">
        <v>10000</v>
      </c>
      <c r="Y576" s="200">
        <f t="shared" si="118"/>
        <v>490277.77777777798</v>
      </c>
      <c r="Z576" s="207">
        <f t="shared" si="122"/>
        <v>8594444.4444444422</v>
      </c>
      <c r="AA576" s="96"/>
      <c r="AB576" s="96" t="e">
        <f>#REF!-#REF!</f>
        <v>#REF!</v>
      </c>
    </row>
    <row r="577" spans="2:28" s="55" customFormat="1" x14ac:dyDescent="0.3">
      <c r="B577" s="191">
        <v>452</v>
      </c>
      <c r="C577" s="205" t="s">
        <v>1000</v>
      </c>
      <c r="D577" s="192"/>
      <c r="E577" s="208">
        <v>45939</v>
      </c>
      <c r="F577" s="192" t="s">
        <v>1001</v>
      </c>
      <c r="G577" s="209" t="s">
        <v>982</v>
      </c>
      <c r="H577" s="194">
        <v>9500000</v>
      </c>
      <c r="I577" s="195">
        <v>2.5000000000000001E-2</v>
      </c>
      <c r="J577" s="206">
        <f t="shared" si="116"/>
        <v>2.000000000000008</v>
      </c>
      <c r="K577" s="213">
        <v>36</v>
      </c>
      <c r="L577" s="198">
        <f t="shared" si="115"/>
        <v>5.5555555555555775E-2</v>
      </c>
      <c r="M577" s="194">
        <v>9236111.1111111101</v>
      </c>
      <c r="N577" s="199">
        <f t="shared" si="117"/>
        <v>263888.88888888888</v>
      </c>
      <c r="O577" s="200">
        <f t="shared" si="123"/>
        <v>237500</v>
      </c>
      <c r="P577" s="200">
        <v>10000</v>
      </c>
      <c r="Q577" s="200">
        <f t="shared" si="121"/>
        <v>511388.88888888888</v>
      </c>
      <c r="R577" s="201">
        <f>'[1]NOV''25'!Q588+N577-V577</f>
        <v>0</v>
      </c>
      <c r="S577" s="201">
        <f>'[1]NOV''25'!R588+O577-W577</f>
        <v>0</v>
      </c>
      <c r="T577" s="201">
        <f>'[1]NOV''25'!S588+P577-X577</f>
        <v>0</v>
      </c>
      <c r="U577" s="200">
        <f t="shared" si="114"/>
        <v>0</v>
      </c>
      <c r="V577" s="202">
        <v>263888.88888888899</v>
      </c>
      <c r="W577" s="203">
        <v>237500</v>
      </c>
      <c r="X577" s="203">
        <v>10000</v>
      </c>
      <c r="Y577" s="200">
        <f t="shared" si="118"/>
        <v>511388.88888888899</v>
      </c>
      <c r="Z577" s="207">
        <f t="shared" si="122"/>
        <v>8972222.2222222202</v>
      </c>
      <c r="AA577" s="96"/>
      <c r="AB577" s="96" t="e">
        <f>#REF!-#REF!</f>
        <v>#REF!</v>
      </c>
    </row>
    <row r="578" spans="2:28" s="55" customFormat="1" x14ac:dyDescent="0.3">
      <c r="B578" s="191">
        <v>453</v>
      </c>
      <c r="C578" s="205" t="s">
        <v>1002</v>
      </c>
      <c r="D578" s="192"/>
      <c r="E578" s="208">
        <v>45939</v>
      </c>
      <c r="F578" s="192" t="s">
        <v>1003</v>
      </c>
      <c r="G578" s="209" t="s">
        <v>982</v>
      </c>
      <c r="H578" s="194">
        <v>8000000</v>
      </c>
      <c r="I578" s="195">
        <v>2.5000000000000001E-2</v>
      </c>
      <c r="J578" s="206">
        <f t="shared" si="116"/>
        <v>1.9999999999999898</v>
      </c>
      <c r="K578" s="213">
        <v>36</v>
      </c>
      <c r="L578" s="198">
        <f t="shared" si="115"/>
        <v>5.5555555555555275E-2</v>
      </c>
      <c r="M578" s="194">
        <v>7777777.7777777798</v>
      </c>
      <c r="N578" s="199">
        <f t="shared" si="117"/>
        <v>222222.22222222222</v>
      </c>
      <c r="O578" s="200">
        <f t="shared" si="123"/>
        <v>200000</v>
      </c>
      <c r="P578" s="200">
        <v>10000</v>
      </c>
      <c r="Q578" s="200">
        <f t="shared" si="121"/>
        <v>432222.22222222225</v>
      </c>
      <c r="R578" s="201">
        <f>'[1]NOV''25'!Q589+N578-V578</f>
        <v>2.3283064365386963E-10</v>
      </c>
      <c r="S578" s="201">
        <f>'[1]NOV''25'!R589+O578-W578</f>
        <v>0</v>
      </c>
      <c r="T578" s="201">
        <f>'[1]NOV''25'!S589+P578-X578</f>
        <v>0</v>
      </c>
      <c r="U578" s="200">
        <f t="shared" si="114"/>
        <v>2.3283064365386963E-10</v>
      </c>
      <c r="V578" s="202">
        <v>222222.22222222199</v>
      </c>
      <c r="W578" s="203">
        <v>200000</v>
      </c>
      <c r="X578" s="203">
        <v>10000</v>
      </c>
      <c r="Y578" s="200">
        <f t="shared" si="118"/>
        <v>432222.22222222202</v>
      </c>
      <c r="Z578" s="207">
        <f t="shared" si="122"/>
        <v>7555555.5555555578</v>
      </c>
      <c r="AA578" s="96"/>
      <c r="AB578" s="96" t="e">
        <f>#REF!-#REF!</f>
        <v>#REF!</v>
      </c>
    </row>
    <row r="579" spans="2:28" s="55" customFormat="1" x14ac:dyDescent="0.3">
      <c r="B579" s="191">
        <v>454</v>
      </c>
      <c r="C579" s="205" t="s">
        <v>1004</v>
      </c>
      <c r="D579" s="192"/>
      <c r="E579" s="208">
        <v>45939</v>
      </c>
      <c r="F579" s="192" t="s">
        <v>1005</v>
      </c>
      <c r="G579" s="209" t="s">
        <v>982</v>
      </c>
      <c r="H579" s="194">
        <v>9000000</v>
      </c>
      <c r="I579" s="195">
        <v>2.5000000000000001E-2</v>
      </c>
      <c r="J579" s="206">
        <f t="shared" si="116"/>
        <v>2</v>
      </c>
      <c r="K579" s="213">
        <v>36</v>
      </c>
      <c r="L579" s="198">
        <f t="shared" si="115"/>
        <v>5.5555555555555552E-2</v>
      </c>
      <c r="M579" s="194">
        <v>8750000</v>
      </c>
      <c r="N579" s="199">
        <f t="shared" si="117"/>
        <v>250000</v>
      </c>
      <c r="O579" s="200">
        <f t="shared" si="123"/>
        <v>225000</v>
      </c>
      <c r="P579" s="200">
        <v>10000</v>
      </c>
      <c r="Q579" s="200">
        <f t="shared" si="121"/>
        <v>485000</v>
      </c>
      <c r="R579" s="201">
        <f>'[1]NOV''25'!Q590+N579-V579</f>
        <v>0</v>
      </c>
      <c r="S579" s="201">
        <f>'[1]NOV''25'!R590+O579-W579</f>
        <v>0</v>
      </c>
      <c r="T579" s="201">
        <f>'[1]NOV''25'!S590+P579-X579</f>
        <v>0</v>
      </c>
      <c r="U579" s="200">
        <f t="shared" si="114"/>
        <v>0</v>
      </c>
      <c r="V579" s="202">
        <v>250000</v>
      </c>
      <c r="W579" s="203">
        <v>225000</v>
      </c>
      <c r="X579" s="203">
        <v>10000</v>
      </c>
      <c r="Y579" s="200">
        <f t="shared" si="118"/>
        <v>485000</v>
      </c>
      <c r="Z579" s="207">
        <f t="shared" si="122"/>
        <v>8500000</v>
      </c>
      <c r="AA579" s="96"/>
      <c r="AB579" s="96" t="e">
        <f>#REF!-#REF!</f>
        <v>#REF!</v>
      </c>
    </row>
    <row r="580" spans="2:28" s="55" customFormat="1" x14ac:dyDescent="0.3">
      <c r="B580" s="191">
        <v>455</v>
      </c>
      <c r="C580" s="205" t="s">
        <v>1006</v>
      </c>
      <c r="D580" s="192"/>
      <c r="E580" s="208">
        <v>45939</v>
      </c>
      <c r="F580" s="192" t="s">
        <v>1007</v>
      </c>
      <c r="G580" s="209" t="s">
        <v>976</v>
      </c>
      <c r="H580" s="194">
        <v>12500000</v>
      </c>
      <c r="I580" s="195">
        <v>2.5000000000000001E-2</v>
      </c>
      <c r="J580" s="206">
        <f t="shared" si="116"/>
        <v>1.9999999999999343</v>
      </c>
      <c r="K580" s="213">
        <v>36</v>
      </c>
      <c r="L580" s="198">
        <f t="shared" si="115"/>
        <v>5.5555555555553728E-2</v>
      </c>
      <c r="M580" s="194">
        <v>12152777.7777778</v>
      </c>
      <c r="N580" s="199">
        <f t="shared" si="117"/>
        <v>347222.22222222225</v>
      </c>
      <c r="O580" s="200">
        <f t="shared" si="123"/>
        <v>312500</v>
      </c>
      <c r="P580" s="200">
        <v>10000</v>
      </c>
      <c r="Q580" s="200">
        <f t="shared" si="121"/>
        <v>669722.22222222225</v>
      </c>
      <c r="R580" s="201">
        <f>'[1]NOV''25'!Q591+N580-V580</f>
        <v>0</v>
      </c>
      <c r="S580" s="201">
        <f>'[1]NOV''25'!R591+O580-W580</f>
        <v>0</v>
      </c>
      <c r="T580" s="201">
        <f>'[1]NOV''25'!S591+P580-X580</f>
        <v>0</v>
      </c>
      <c r="U580" s="200">
        <f t="shared" si="114"/>
        <v>0</v>
      </c>
      <c r="V580" s="202">
        <v>347222.22222222202</v>
      </c>
      <c r="W580" s="203">
        <v>312500</v>
      </c>
      <c r="X580" s="203">
        <v>10000</v>
      </c>
      <c r="Y580" s="200">
        <f t="shared" si="118"/>
        <v>669722.22222222202</v>
      </c>
      <c r="Z580" s="207">
        <f t="shared" si="122"/>
        <v>11805555.555555578</v>
      </c>
      <c r="AA580" s="96"/>
      <c r="AB580" s="96" t="e">
        <f>#REF!-#REF!</f>
        <v>#REF!</v>
      </c>
    </row>
    <row r="581" spans="2:28" s="55" customFormat="1" x14ac:dyDescent="0.3">
      <c r="B581" s="191">
        <v>456</v>
      </c>
      <c r="C581" s="205" t="s">
        <v>1008</v>
      </c>
      <c r="D581" s="192"/>
      <c r="E581" s="208">
        <v>45940</v>
      </c>
      <c r="F581" s="192" t="s">
        <v>1009</v>
      </c>
      <c r="G581" s="308" t="s">
        <v>976</v>
      </c>
      <c r="H581" s="194">
        <v>11900000</v>
      </c>
      <c r="I581" s="195">
        <v>2.5000000000000001E-2</v>
      </c>
      <c r="J581" s="206">
        <f t="shared" si="116"/>
        <v>1.9999999999999856</v>
      </c>
      <c r="K581" s="213">
        <v>18</v>
      </c>
      <c r="L581" s="198">
        <f t="shared" si="115"/>
        <v>0.11111111111111031</v>
      </c>
      <c r="M581" s="194">
        <v>11238888.888888899</v>
      </c>
      <c r="N581" s="199">
        <f t="shared" si="117"/>
        <v>661111.11111111112</v>
      </c>
      <c r="O581" s="200">
        <f t="shared" si="123"/>
        <v>297500</v>
      </c>
      <c r="P581" s="200">
        <v>10000</v>
      </c>
      <c r="Q581" s="200">
        <f t="shared" si="121"/>
        <v>968611.11111111112</v>
      </c>
      <c r="R581" s="201">
        <f>'[1]NOV''25'!Q592+N581-V581</f>
        <v>0</v>
      </c>
      <c r="S581" s="201">
        <f>'[1]NOV''25'!R592+O581-W581</f>
        <v>0</v>
      </c>
      <c r="T581" s="201">
        <f>'[1]NOV''25'!S592+P581-X581</f>
        <v>0</v>
      </c>
      <c r="U581" s="200">
        <f t="shared" si="114"/>
        <v>0</v>
      </c>
      <c r="V581" s="202">
        <v>661111.11111111101</v>
      </c>
      <c r="W581" s="203">
        <v>297500</v>
      </c>
      <c r="X581" s="203">
        <v>10000</v>
      </c>
      <c r="Y581" s="200">
        <f t="shared" si="118"/>
        <v>968611.11111111101</v>
      </c>
      <c r="Z581" s="207">
        <f t="shared" si="122"/>
        <v>10577777.777777787</v>
      </c>
      <c r="AA581" s="96"/>
      <c r="AB581" s="96" t="e">
        <f>#REF!-#REF!</f>
        <v>#REF!</v>
      </c>
    </row>
    <row r="582" spans="2:28" s="55" customFormat="1" x14ac:dyDescent="0.3">
      <c r="B582" s="191">
        <v>457</v>
      </c>
      <c r="C582" s="205" t="s">
        <v>1010</v>
      </c>
      <c r="D582" s="192"/>
      <c r="E582" s="208">
        <v>45940</v>
      </c>
      <c r="F582" s="192" t="s">
        <v>1011</v>
      </c>
      <c r="G582" s="308" t="s">
        <v>1012</v>
      </c>
      <c r="H582" s="194">
        <v>5000000</v>
      </c>
      <c r="I582" s="195">
        <v>2.5000000000000001E-2</v>
      </c>
      <c r="J582" s="206">
        <f t="shared" si="116"/>
        <v>2.0000008000000009</v>
      </c>
      <c r="K582" s="213">
        <v>36</v>
      </c>
      <c r="L582" s="198">
        <f t="shared" si="115"/>
        <v>5.5555577777777802E-2</v>
      </c>
      <c r="M582" s="194">
        <v>4861111</v>
      </c>
      <c r="N582" s="199">
        <f t="shared" si="117"/>
        <v>138888.88888888888</v>
      </c>
      <c r="O582" s="200">
        <f t="shared" si="123"/>
        <v>125000</v>
      </c>
      <c r="P582" s="200">
        <v>10000</v>
      </c>
      <c r="Q582" s="200">
        <f t="shared" si="121"/>
        <v>273888.88888888888</v>
      </c>
      <c r="R582" s="201">
        <f>'[1]NOV''25'!Q593+N582-V582</f>
        <v>-0.11111111124046147</v>
      </c>
      <c r="S582" s="201">
        <f>'[1]NOV''25'!R593+O582-W582</f>
        <v>0</v>
      </c>
      <c r="T582" s="201">
        <f>'[1]NOV''25'!S593+P582-X582</f>
        <v>0</v>
      </c>
      <c r="U582" s="200">
        <f t="shared" si="114"/>
        <v>-0.11111111124046147</v>
      </c>
      <c r="V582" s="202">
        <v>138888.88888888899</v>
      </c>
      <c r="W582" s="203">
        <v>125000</v>
      </c>
      <c r="X582" s="203">
        <v>10000</v>
      </c>
      <c r="Y582" s="200">
        <f t="shared" si="118"/>
        <v>273888.88888888899</v>
      </c>
      <c r="Z582" s="207">
        <f t="shared" si="122"/>
        <v>4722222.111111111</v>
      </c>
      <c r="AA582" s="96"/>
      <c r="AB582" s="96" t="e">
        <f>#REF!-#REF!</f>
        <v>#REF!</v>
      </c>
    </row>
    <row r="583" spans="2:28" s="55" customFormat="1" x14ac:dyDescent="0.3">
      <c r="B583" s="191">
        <v>458</v>
      </c>
      <c r="C583" s="205" t="s">
        <v>1013</v>
      </c>
      <c r="D583" s="192"/>
      <c r="E583" s="208">
        <v>45940</v>
      </c>
      <c r="F583" s="192" t="s">
        <v>1014</v>
      </c>
      <c r="G583" s="308" t="s">
        <v>976</v>
      </c>
      <c r="H583" s="194">
        <v>8800000</v>
      </c>
      <c r="I583" s="195">
        <v>2.5000000000000001E-2</v>
      </c>
      <c r="J583" s="206">
        <f t="shared" si="116"/>
        <v>1.9999999999999813</v>
      </c>
      <c r="K583" s="213">
        <v>36</v>
      </c>
      <c r="L583" s="198">
        <f t="shared" si="115"/>
        <v>5.5555555555555039E-2</v>
      </c>
      <c r="M583" s="194">
        <v>8555555.5555555597</v>
      </c>
      <c r="N583" s="199">
        <f t="shared" si="117"/>
        <v>244444.44444444444</v>
      </c>
      <c r="O583" s="200">
        <f t="shared" si="123"/>
        <v>220000</v>
      </c>
      <c r="P583" s="200">
        <v>10000</v>
      </c>
      <c r="Q583" s="200">
        <f t="shared" si="121"/>
        <v>474444.44444444444</v>
      </c>
      <c r="R583" s="201">
        <f>'[1]NOV''25'!Q594+N583-V583</f>
        <v>4.3655745685100555E-10</v>
      </c>
      <c r="S583" s="201">
        <f>'[1]NOV''25'!R594+O583-W583</f>
        <v>0</v>
      </c>
      <c r="T583" s="201">
        <f>'[1]NOV''25'!S594+P583-X583</f>
        <v>0</v>
      </c>
      <c r="U583" s="200">
        <f t="shared" ref="U583:U612" si="124">+R583+S583+T583</f>
        <v>4.3655745685100555E-10</v>
      </c>
      <c r="V583" s="202">
        <v>244444.444444444</v>
      </c>
      <c r="W583" s="203">
        <v>220000</v>
      </c>
      <c r="X583" s="203">
        <v>10000</v>
      </c>
      <c r="Y583" s="200">
        <f t="shared" si="118"/>
        <v>474444.44444444403</v>
      </c>
      <c r="Z583" s="207">
        <f t="shared" si="122"/>
        <v>8311111.1111111157</v>
      </c>
      <c r="AA583" s="96"/>
      <c r="AB583" s="96" t="e">
        <f>#REF!-#REF!</f>
        <v>#REF!</v>
      </c>
    </row>
    <row r="584" spans="2:28" s="55" customFormat="1" x14ac:dyDescent="0.3">
      <c r="B584" s="191">
        <v>459</v>
      </c>
      <c r="C584" s="205" t="s">
        <v>1015</v>
      </c>
      <c r="D584" s="192"/>
      <c r="E584" s="208">
        <v>45944</v>
      </c>
      <c r="F584" s="192" t="s">
        <v>1016</v>
      </c>
      <c r="G584" s="308" t="s">
        <v>976</v>
      </c>
      <c r="H584" s="194">
        <v>7900000</v>
      </c>
      <c r="I584" s="195">
        <v>2.5000000000000001E-2</v>
      </c>
      <c r="J584" s="206">
        <f t="shared" si="116"/>
        <v>1.9999999999999793</v>
      </c>
      <c r="K584" s="213">
        <v>36</v>
      </c>
      <c r="L584" s="198">
        <f t="shared" si="115"/>
        <v>5.5555555555554983E-2</v>
      </c>
      <c r="M584" s="194">
        <v>7680555.5555555597</v>
      </c>
      <c r="N584" s="199">
        <f t="shared" si="117"/>
        <v>219444.44444444444</v>
      </c>
      <c r="O584" s="200">
        <f t="shared" si="123"/>
        <v>197500</v>
      </c>
      <c r="P584" s="200">
        <v>10000</v>
      </c>
      <c r="Q584" s="200">
        <f t="shared" si="121"/>
        <v>426944.44444444444</v>
      </c>
      <c r="R584" s="201">
        <f>'[1]NOV''25'!Q595+N584-V584</f>
        <v>4.3655745685100555E-10</v>
      </c>
      <c r="S584" s="201">
        <f>'[1]NOV''25'!R595+O584-W584</f>
        <v>0</v>
      </c>
      <c r="T584" s="201">
        <f>'[1]NOV''25'!S595+P584-X584</f>
        <v>0</v>
      </c>
      <c r="U584" s="200">
        <f t="shared" si="124"/>
        <v>4.3655745685100555E-10</v>
      </c>
      <c r="V584" s="202">
        <v>219444.444444444</v>
      </c>
      <c r="W584" s="203">
        <v>197500</v>
      </c>
      <c r="X584" s="203">
        <v>10000</v>
      </c>
      <c r="Y584" s="200">
        <f t="shared" si="118"/>
        <v>426944.44444444403</v>
      </c>
      <c r="Z584" s="207">
        <f t="shared" si="122"/>
        <v>7461111.1111111157</v>
      </c>
      <c r="AA584" s="96"/>
      <c r="AB584" s="96" t="e">
        <f>#REF!-#REF!</f>
        <v>#REF!</v>
      </c>
    </row>
    <row r="585" spans="2:28" s="55" customFormat="1" x14ac:dyDescent="0.3">
      <c r="B585" s="191">
        <v>460</v>
      </c>
      <c r="C585" s="205" t="s">
        <v>1017</v>
      </c>
      <c r="D585" s="192"/>
      <c r="E585" s="208">
        <v>45947</v>
      </c>
      <c r="F585" s="192" t="s">
        <v>1018</v>
      </c>
      <c r="G585" s="308" t="s">
        <v>880</v>
      </c>
      <c r="H585" s="194">
        <v>5500000</v>
      </c>
      <c r="I585" s="195">
        <v>2.5000000000000001E-2</v>
      </c>
      <c r="J585" s="206">
        <f t="shared" si="116"/>
        <v>2.0000014545454556</v>
      </c>
      <c r="K585" s="213">
        <v>36</v>
      </c>
      <c r="L585" s="198">
        <f t="shared" si="115"/>
        <v>5.5555595959595992E-2</v>
      </c>
      <c r="M585" s="194">
        <v>5347222</v>
      </c>
      <c r="N585" s="199">
        <f t="shared" si="117"/>
        <v>152777.77777777778</v>
      </c>
      <c r="O585" s="200">
        <f t="shared" si="123"/>
        <v>137500</v>
      </c>
      <c r="P585" s="200">
        <v>10000</v>
      </c>
      <c r="Q585" s="200">
        <f t="shared" si="121"/>
        <v>300277.77777777775</v>
      </c>
      <c r="R585" s="201">
        <f>'[1]NOV''25'!Q596+N585-V585</f>
        <v>-0.22222222245181911</v>
      </c>
      <c r="S585" s="201">
        <f>'[1]NOV''25'!R596+O585-W585</f>
        <v>0</v>
      </c>
      <c r="T585" s="201">
        <f>'[1]NOV''25'!S596+P585-X585</f>
        <v>0</v>
      </c>
      <c r="U585" s="200">
        <f t="shared" si="124"/>
        <v>-0.22222222245181911</v>
      </c>
      <c r="V585" s="202">
        <v>152777.77777777801</v>
      </c>
      <c r="W585" s="203">
        <v>137500</v>
      </c>
      <c r="X585" s="203">
        <v>10000</v>
      </c>
      <c r="Y585" s="200">
        <f t="shared" si="118"/>
        <v>300277.77777777798</v>
      </c>
      <c r="Z585" s="207">
        <f t="shared" si="122"/>
        <v>5194444.222222222</v>
      </c>
      <c r="AA585" s="96"/>
      <c r="AB585" s="96" t="e">
        <f>#REF!-#REF!</f>
        <v>#REF!</v>
      </c>
    </row>
    <row r="586" spans="2:28" s="150" customFormat="1" x14ac:dyDescent="0.3">
      <c r="B586" s="100">
        <v>461</v>
      </c>
      <c r="C586" s="117" t="s">
        <v>1019</v>
      </c>
      <c r="D586" s="101"/>
      <c r="E586" s="113">
        <v>45947</v>
      </c>
      <c r="F586" s="101" t="s">
        <v>218</v>
      </c>
      <c r="G586" s="119" t="s">
        <v>298</v>
      </c>
      <c r="H586" s="107">
        <v>6100000</v>
      </c>
      <c r="I586" s="118">
        <v>2.5000000000000001E-2</v>
      </c>
      <c r="J586" s="149">
        <f t="shared" si="116"/>
        <v>1.9999999999999731</v>
      </c>
      <c r="K586" s="307">
        <v>36</v>
      </c>
      <c r="L586" s="106">
        <f t="shared" si="115"/>
        <v>5.555555555555481E-2</v>
      </c>
      <c r="M586" s="107">
        <v>5930555.5555555597</v>
      </c>
      <c r="N586" s="108">
        <f t="shared" si="117"/>
        <v>169444.44444444444</v>
      </c>
      <c r="O586" s="109">
        <f t="shared" si="123"/>
        <v>152500</v>
      </c>
      <c r="P586" s="109">
        <v>10000</v>
      </c>
      <c r="Q586" s="109">
        <f t="shared" si="121"/>
        <v>331944.44444444444</v>
      </c>
      <c r="R586" s="201">
        <f>'[1]NOV''25'!Q597+N586-V586</f>
        <v>4.3655745685100555E-10</v>
      </c>
      <c r="S586" s="201">
        <f>'[1]NOV''25'!R597+O586-W586</f>
        <v>0</v>
      </c>
      <c r="T586" s="201">
        <f>'[1]NOV''25'!S597+P586-X586</f>
        <v>0</v>
      </c>
      <c r="U586" s="109">
        <f t="shared" si="124"/>
        <v>4.3655745685100555E-10</v>
      </c>
      <c r="V586" s="110">
        <v>169444.444444444</v>
      </c>
      <c r="W586" s="111">
        <v>152500</v>
      </c>
      <c r="X586" s="111">
        <v>10000</v>
      </c>
      <c r="Y586" s="200">
        <f t="shared" si="118"/>
        <v>331944.44444444403</v>
      </c>
      <c r="Z586" s="141">
        <f t="shared" si="122"/>
        <v>5761111.1111111157</v>
      </c>
      <c r="AA586" s="152"/>
      <c r="AB586" s="96" t="e">
        <f>#REF!-#REF!</f>
        <v>#REF!</v>
      </c>
    </row>
    <row r="587" spans="2:28" s="150" customFormat="1" x14ac:dyDescent="0.3">
      <c r="B587" s="100">
        <v>462</v>
      </c>
      <c r="C587" s="117" t="s">
        <v>1020</v>
      </c>
      <c r="D587" s="101"/>
      <c r="E587" s="113">
        <v>45950</v>
      </c>
      <c r="F587" s="101" t="s">
        <v>221</v>
      </c>
      <c r="G587" s="119" t="s">
        <v>303</v>
      </c>
      <c r="H587" s="107">
        <v>2992000</v>
      </c>
      <c r="I587" s="118">
        <v>2.5000000000000001E-2</v>
      </c>
      <c r="J587" s="149">
        <f t="shared" si="116"/>
        <v>1.9999999999999862</v>
      </c>
      <c r="K587" s="307">
        <v>36</v>
      </c>
      <c r="L587" s="106">
        <f t="shared" si="115"/>
        <v>5.5555555555555171E-2</v>
      </c>
      <c r="M587" s="107">
        <v>2908888.8888888899</v>
      </c>
      <c r="N587" s="108">
        <f t="shared" si="117"/>
        <v>83111.111111111109</v>
      </c>
      <c r="O587" s="109">
        <f t="shared" si="123"/>
        <v>74800</v>
      </c>
      <c r="P587" s="109">
        <v>10000</v>
      </c>
      <c r="Q587" s="109">
        <f t="shared" si="121"/>
        <v>167911.11111111112</v>
      </c>
      <c r="R587" s="201">
        <f>'[1]NOV''25'!Q598+N587-V587</f>
        <v>0</v>
      </c>
      <c r="S587" s="201">
        <f>'[1]NOV''25'!R598+O587-W587</f>
        <v>0</v>
      </c>
      <c r="T587" s="201">
        <f>'[1]NOV''25'!S598+P587-X587</f>
        <v>0</v>
      </c>
      <c r="U587" s="109">
        <f t="shared" si="124"/>
        <v>0</v>
      </c>
      <c r="V587" s="110">
        <v>83111.111111111095</v>
      </c>
      <c r="W587" s="111">
        <v>74800</v>
      </c>
      <c r="X587" s="111">
        <v>10000</v>
      </c>
      <c r="Y587" s="200">
        <f t="shared" si="118"/>
        <v>167911.11111111109</v>
      </c>
      <c r="Z587" s="141">
        <f t="shared" si="122"/>
        <v>2825777.7777777789</v>
      </c>
      <c r="AA587" s="152"/>
      <c r="AB587" s="96" t="e">
        <f>#REF!-#REF!</f>
        <v>#REF!</v>
      </c>
    </row>
    <row r="588" spans="2:28" s="55" customFormat="1" x14ac:dyDescent="0.3">
      <c r="B588" s="191">
        <v>463</v>
      </c>
      <c r="C588" s="205" t="s">
        <v>1021</v>
      </c>
      <c r="D588" s="192"/>
      <c r="E588" s="208">
        <v>45951</v>
      </c>
      <c r="F588" s="192" t="s">
        <v>1022</v>
      </c>
      <c r="G588" s="308" t="s">
        <v>1023</v>
      </c>
      <c r="H588" s="194">
        <v>15800000</v>
      </c>
      <c r="I588" s="195">
        <v>2.5000000000000001E-2</v>
      </c>
      <c r="J588" s="206">
        <f t="shared" si="116"/>
        <v>2.0000000000000218</v>
      </c>
      <c r="K588" s="213">
        <v>36</v>
      </c>
      <c r="L588" s="198">
        <f t="shared" si="115"/>
        <v>5.5555555555556163E-2</v>
      </c>
      <c r="M588" s="194">
        <v>15361111.111111101</v>
      </c>
      <c r="N588" s="199">
        <f t="shared" si="117"/>
        <v>438888.88888888888</v>
      </c>
      <c r="O588" s="200">
        <f t="shared" si="123"/>
        <v>395000</v>
      </c>
      <c r="P588" s="200">
        <v>10000</v>
      </c>
      <c r="Q588" s="200">
        <f t="shared" si="121"/>
        <v>843888.88888888888</v>
      </c>
      <c r="R588" s="201">
        <f>'[1]NOV''25'!Q599+N588-V588</f>
        <v>0</v>
      </c>
      <c r="S588" s="201">
        <f>'[1]NOV''25'!R599+O588-W588</f>
        <v>0</v>
      </c>
      <c r="T588" s="201">
        <f>'[1]NOV''25'!S599+P588-X588</f>
        <v>0</v>
      </c>
      <c r="U588" s="200">
        <f t="shared" si="124"/>
        <v>0</v>
      </c>
      <c r="V588" s="202">
        <v>438888.88888888899</v>
      </c>
      <c r="W588" s="203">
        <v>395000</v>
      </c>
      <c r="X588" s="203">
        <v>10000</v>
      </c>
      <c r="Y588" s="200">
        <f t="shared" si="118"/>
        <v>843888.88888888899</v>
      </c>
      <c r="Z588" s="207">
        <f t="shared" si="122"/>
        <v>14922222.222222213</v>
      </c>
      <c r="AA588" s="96"/>
      <c r="AB588" s="96" t="e">
        <f>#REF!-#REF!</f>
        <v>#REF!</v>
      </c>
    </row>
    <row r="589" spans="2:28" s="55" customFormat="1" x14ac:dyDescent="0.3">
      <c r="B589" s="191">
        <v>464</v>
      </c>
      <c r="C589" s="205" t="s">
        <v>1024</v>
      </c>
      <c r="D589" s="192"/>
      <c r="E589" s="208">
        <v>45952</v>
      </c>
      <c r="F589" s="192" t="s">
        <v>1025</v>
      </c>
      <c r="G589" s="308" t="s">
        <v>1026</v>
      </c>
      <c r="H589" s="194">
        <v>11500000</v>
      </c>
      <c r="I589" s="195">
        <v>2.5000000000000001E-2</v>
      </c>
      <c r="J589" s="206">
        <f t="shared" si="116"/>
        <v>1.9999999999998574</v>
      </c>
      <c r="K589" s="213">
        <v>36</v>
      </c>
      <c r="L589" s="198">
        <f t="shared" ref="L589:L612" si="125">J589/K589</f>
        <v>5.5555555555551597E-2</v>
      </c>
      <c r="M589" s="194">
        <v>11180555.555555601</v>
      </c>
      <c r="N589" s="199">
        <f t="shared" si="117"/>
        <v>319444.44444444444</v>
      </c>
      <c r="O589" s="200">
        <f t="shared" si="123"/>
        <v>287500</v>
      </c>
      <c r="P589" s="200">
        <v>10000</v>
      </c>
      <c r="Q589" s="200">
        <f t="shared" si="121"/>
        <v>616944.4444444445</v>
      </c>
      <c r="R589" s="201">
        <f>'[1]NOV''25'!Q600+N589-V589</f>
        <v>4.6566128730773926E-10</v>
      </c>
      <c r="S589" s="201">
        <f>'[1]NOV''25'!R600+O589-W589</f>
        <v>0</v>
      </c>
      <c r="T589" s="201">
        <f>'[1]NOV''25'!S600+P589-X589</f>
        <v>0</v>
      </c>
      <c r="U589" s="200">
        <f t="shared" si="124"/>
        <v>4.6566128730773926E-10</v>
      </c>
      <c r="V589" s="202">
        <v>319444.44444444397</v>
      </c>
      <c r="W589" s="203">
        <v>287500</v>
      </c>
      <c r="X589" s="203">
        <v>10000</v>
      </c>
      <c r="Y589" s="200">
        <f t="shared" si="118"/>
        <v>616944.44444444403</v>
      </c>
      <c r="Z589" s="207">
        <f t="shared" si="122"/>
        <v>10861111.111111157</v>
      </c>
      <c r="AA589" s="96"/>
      <c r="AB589" s="96" t="e">
        <f>#REF!-#REF!</f>
        <v>#REF!</v>
      </c>
    </row>
    <row r="590" spans="2:28" s="55" customFormat="1" x14ac:dyDescent="0.3">
      <c r="B590" s="191">
        <v>465</v>
      </c>
      <c r="C590" s="205" t="s">
        <v>1027</v>
      </c>
      <c r="D590" s="192"/>
      <c r="E590" s="208">
        <v>45952</v>
      </c>
      <c r="F590" s="192" t="s">
        <v>1028</v>
      </c>
      <c r="G590" s="308" t="s">
        <v>1023</v>
      </c>
      <c r="H590" s="194">
        <v>8500000</v>
      </c>
      <c r="I590" s="195">
        <v>2.5000000000000001E-2</v>
      </c>
      <c r="J590" s="206">
        <f t="shared" si="116"/>
        <v>1.9999999999999951</v>
      </c>
      <c r="K590" s="213">
        <v>36</v>
      </c>
      <c r="L590" s="198">
        <f t="shared" si="125"/>
        <v>5.5555555555555421E-2</v>
      </c>
      <c r="M590" s="194">
        <v>8263888.8888888899</v>
      </c>
      <c r="N590" s="199">
        <f t="shared" si="117"/>
        <v>236111.11111111112</v>
      </c>
      <c r="O590" s="200">
        <f t="shared" si="123"/>
        <v>212500</v>
      </c>
      <c r="P590" s="200">
        <v>10000</v>
      </c>
      <c r="Q590" s="200">
        <f t="shared" si="121"/>
        <v>458611.11111111112</v>
      </c>
      <c r="R590" s="201">
        <f>'[1]NOV''25'!Q601+N590-V590</f>
        <v>0</v>
      </c>
      <c r="S590" s="201">
        <f>'[1]NOV''25'!R601+O590-W590</f>
        <v>0</v>
      </c>
      <c r="T590" s="201">
        <f>'[1]NOV''25'!S601+P590-X590</f>
        <v>0</v>
      </c>
      <c r="U590" s="200">
        <f t="shared" si="124"/>
        <v>0</v>
      </c>
      <c r="V590" s="202">
        <v>236111.11111111101</v>
      </c>
      <c r="W590" s="203">
        <v>212500</v>
      </c>
      <c r="X590" s="203">
        <v>10000</v>
      </c>
      <c r="Y590" s="200">
        <f t="shared" si="118"/>
        <v>458611.11111111101</v>
      </c>
      <c r="Z590" s="207">
        <f t="shared" si="122"/>
        <v>8027777.7777777789</v>
      </c>
      <c r="AA590" s="96"/>
      <c r="AB590" s="96" t="e">
        <f>#REF!-#REF!</f>
        <v>#REF!</v>
      </c>
    </row>
    <row r="591" spans="2:28" s="55" customFormat="1" x14ac:dyDescent="0.3">
      <c r="B591" s="191">
        <v>466</v>
      </c>
      <c r="C591" s="205" t="s">
        <v>1029</v>
      </c>
      <c r="D591" s="192"/>
      <c r="E591" s="208">
        <v>45952</v>
      </c>
      <c r="F591" s="192" t="s">
        <v>1030</v>
      </c>
      <c r="G591" s="308" t="s">
        <v>1023</v>
      </c>
      <c r="H591" s="194">
        <v>12700000</v>
      </c>
      <c r="I591" s="195">
        <v>2.5000000000000001E-2</v>
      </c>
      <c r="J591" s="206">
        <f t="shared" si="116"/>
        <v>2.0000000000000648</v>
      </c>
      <c r="K591" s="213">
        <v>36</v>
      </c>
      <c r="L591" s="198">
        <f t="shared" si="125"/>
        <v>5.5555555555557357E-2</v>
      </c>
      <c r="M591" s="194">
        <v>12347222.2222222</v>
      </c>
      <c r="N591" s="199">
        <f t="shared" si="117"/>
        <v>352777.77777777775</v>
      </c>
      <c r="O591" s="200">
        <f t="shared" si="123"/>
        <v>317500</v>
      </c>
      <c r="P591" s="200">
        <v>10000</v>
      </c>
      <c r="Q591" s="200">
        <f t="shared" si="121"/>
        <v>680277.77777777775</v>
      </c>
      <c r="R591" s="201">
        <f>'[1]NOV''25'!Q602+N591-V591</f>
        <v>0</v>
      </c>
      <c r="S591" s="201">
        <f>'[1]NOV''25'!R602+O591-W591</f>
        <v>0</v>
      </c>
      <c r="T591" s="201">
        <f>'[1]NOV''25'!S602+P591-X591</f>
        <v>0</v>
      </c>
      <c r="U591" s="200">
        <f t="shared" si="124"/>
        <v>0</v>
      </c>
      <c r="V591" s="202">
        <v>352777.77777777798</v>
      </c>
      <c r="W591" s="203">
        <v>317500</v>
      </c>
      <c r="X591" s="203">
        <v>10000</v>
      </c>
      <c r="Y591" s="200">
        <f t="shared" si="118"/>
        <v>680277.77777777798</v>
      </c>
      <c r="Z591" s="207">
        <f t="shared" si="122"/>
        <v>11994444.444444422</v>
      </c>
      <c r="AA591" s="96"/>
      <c r="AB591" s="96" t="e">
        <f>#REF!-#REF!</f>
        <v>#REF!</v>
      </c>
    </row>
    <row r="592" spans="2:28" s="150" customFormat="1" x14ac:dyDescent="0.3">
      <c r="B592" s="100">
        <v>467</v>
      </c>
      <c r="C592" s="117" t="s">
        <v>1031</v>
      </c>
      <c r="D592" s="101"/>
      <c r="E592" s="113">
        <v>45958</v>
      </c>
      <c r="F592" s="101" t="s">
        <v>224</v>
      </c>
      <c r="G592" s="145" t="s">
        <v>298</v>
      </c>
      <c r="H592" s="107">
        <v>6841000</v>
      </c>
      <c r="I592" s="118">
        <v>2.5000000000000001E-2</v>
      </c>
      <c r="J592" s="149">
        <f t="shared" si="116"/>
        <v>2.000000000000012</v>
      </c>
      <c r="K592" s="307">
        <v>36</v>
      </c>
      <c r="L592" s="106">
        <f t="shared" si="125"/>
        <v>5.5555555555555886E-2</v>
      </c>
      <c r="M592" s="107">
        <v>6650972.2222222202</v>
      </c>
      <c r="N592" s="108">
        <f t="shared" si="117"/>
        <v>190027.77777777778</v>
      </c>
      <c r="O592" s="109">
        <f t="shared" si="123"/>
        <v>171025</v>
      </c>
      <c r="P592" s="109">
        <v>10000</v>
      </c>
      <c r="Q592" s="109">
        <f t="shared" si="121"/>
        <v>371052.77777777775</v>
      </c>
      <c r="R592" s="201">
        <f>'[1]NOV''25'!Q603+N592-V592</f>
        <v>-2.3283064365386963E-10</v>
      </c>
      <c r="S592" s="201">
        <f>'[1]NOV''25'!R603+O592-W592</f>
        <v>0</v>
      </c>
      <c r="T592" s="201">
        <f>'[1]NOV''25'!S603+P592-X592</f>
        <v>0</v>
      </c>
      <c r="U592" s="109">
        <f t="shared" si="124"/>
        <v>-2.3283064365386963E-10</v>
      </c>
      <c r="V592" s="110">
        <v>190027.77777777801</v>
      </c>
      <c r="W592" s="111">
        <v>171025</v>
      </c>
      <c r="X592" s="111">
        <v>10000</v>
      </c>
      <c r="Y592" s="200">
        <f t="shared" si="118"/>
        <v>371052.77777777798</v>
      </c>
      <c r="Z592" s="141">
        <f t="shared" ref="Z592:Z594" si="126">SUM(M592-V592)</f>
        <v>6460944.4444444422</v>
      </c>
      <c r="AA592" s="151"/>
      <c r="AB592" s="96" t="e">
        <f>#REF!-#REF!</f>
        <v>#REF!</v>
      </c>
    </row>
    <row r="593" spans="2:28" s="55" customFormat="1" x14ac:dyDescent="0.3">
      <c r="B593" s="191">
        <v>468</v>
      </c>
      <c r="C593" s="205" t="s">
        <v>1032</v>
      </c>
      <c r="D593" s="192"/>
      <c r="E593" s="208">
        <v>45960</v>
      </c>
      <c r="F593" s="192" t="s">
        <v>1033</v>
      </c>
      <c r="G593" s="209" t="s">
        <v>1034</v>
      </c>
      <c r="H593" s="194">
        <v>17500000</v>
      </c>
      <c r="I593" s="195">
        <v>2.5000000000000001E-2</v>
      </c>
      <c r="J593" s="206">
        <f t="shared" si="116"/>
        <v>1.9999999999999805</v>
      </c>
      <c r="K593" s="213">
        <v>36</v>
      </c>
      <c r="L593" s="198">
        <f t="shared" si="125"/>
        <v>5.5555555555555011E-2</v>
      </c>
      <c r="M593" s="194">
        <v>17013888.888888899</v>
      </c>
      <c r="N593" s="199">
        <f t="shared" si="117"/>
        <v>486111.11111111112</v>
      </c>
      <c r="O593" s="200">
        <f t="shared" si="123"/>
        <v>437500</v>
      </c>
      <c r="P593" s="200">
        <v>10000</v>
      </c>
      <c r="Q593" s="200">
        <f t="shared" si="121"/>
        <v>933611.11111111112</v>
      </c>
      <c r="R593" s="201">
        <f>'[1]NOV''25'!Q604+N593-V593</f>
        <v>0</v>
      </c>
      <c r="S593" s="201">
        <f>'[1]NOV''25'!R604+O593-W593</f>
        <v>0</v>
      </c>
      <c r="T593" s="201">
        <f>'[1]NOV''25'!S604+P593-X593</f>
        <v>0</v>
      </c>
      <c r="U593" s="200">
        <f t="shared" si="124"/>
        <v>0</v>
      </c>
      <c r="V593" s="202">
        <v>486111.11111111101</v>
      </c>
      <c r="W593" s="203">
        <v>437500</v>
      </c>
      <c r="X593" s="203">
        <v>10000</v>
      </c>
      <c r="Y593" s="200">
        <f t="shared" si="118"/>
        <v>933611.11111111101</v>
      </c>
      <c r="Z593" s="207">
        <f t="shared" si="126"/>
        <v>16527777.777777787</v>
      </c>
      <c r="AA593" s="53"/>
      <c r="AB593" s="96" t="e">
        <f>#REF!-#REF!</f>
        <v>#REF!</v>
      </c>
    </row>
    <row r="594" spans="2:28" s="55" customFormat="1" x14ac:dyDescent="0.3">
      <c r="B594" s="191">
        <f>B593+1</f>
        <v>469</v>
      </c>
      <c r="C594" s="205" t="s">
        <v>1035</v>
      </c>
      <c r="D594" s="192"/>
      <c r="E594" s="208">
        <v>45964</v>
      </c>
      <c r="F594" s="192" t="s">
        <v>1036</v>
      </c>
      <c r="G594" s="209" t="s">
        <v>298</v>
      </c>
      <c r="H594" s="194">
        <v>8556000</v>
      </c>
      <c r="I594" s="195">
        <v>2.5000000000000001E-2</v>
      </c>
      <c r="J594" s="206">
        <f t="shared" si="116"/>
        <v>1.0000000000000013</v>
      </c>
      <c r="K594" s="213">
        <v>36</v>
      </c>
      <c r="L594" s="198">
        <f t="shared" si="125"/>
        <v>2.7777777777777814E-2</v>
      </c>
      <c r="M594" s="194">
        <v>8556000</v>
      </c>
      <c r="N594" s="199">
        <f t="shared" ref="N594:N610" si="127">SUM(H594/K594)</f>
        <v>237666.66666666666</v>
      </c>
      <c r="O594" s="200">
        <f t="shared" si="123"/>
        <v>213900</v>
      </c>
      <c r="P594" s="200">
        <v>10000</v>
      </c>
      <c r="Q594" s="200">
        <f t="shared" si="121"/>
        <v>461566.66666666663</v>
      </c>
      <c r="R594" s="201">
        <f>'[1]NOV''25'!Q606+N594-V594</f>
        <v>-3.4924596548080444E-10</v>
      </c>
      <c r="S594" s="201">
        <f>'[1]NOV''25'!R606+O594-W594</f>
        <v>0</v>
      </c>
      <c r="T594" s="201">
        <f>'[1]NOV''25'!S606+P594-X594</f>
        <v>0</v>
      </c>
      <c r="U594" s="200">
        <f t="shared" si="124"/>
        <v>-3.4924596548080444E-10</v>
      </c>
      <c r="V594" s="202">
        <v>237666.66666666701</v>
      </c>
      <c r="W594" s="203">
        <v>213900</v>
      </c>
      <c r="X594" s="203">
        <v>10000</v>
      </c>
      <c r="Y594" s="200">
        <f t="shared" si="118"/>
        <v>461566.66666666698</v>
      </c>
      <c r="Z594" s="207">
        <f t="shared" si="126"/>
        <v>8318333.333333333</v>
      </c>
      <c r="AA594" s="53"/>
      <c r="AB594" s="96" t="e">
        <f>#REF!-#REF!</f>
        <v>#REF!</v>
      </c>
    </row>
    <row r="595" spans="2:28" s="55" customFormat="1" x14ac:dyDescent="0.3">
      <c r="B595" s="191">
        <f>B594+1</f>
        <v>470</v>
      </c>
      <c r="C595" s="205" t="s">
        <v>1037</v>
      </c>
      <c r="D595" s="192"/>
      <c r="E595" s="208">
        <v>45964</v>
      </c>
      <c r="F595" s="192" t="s">
        <v>1038</v>
      </c>
      <c r="G595" s="209" t="s">
        <v>719</v>
      </c>
      <c r="H595" s="194">
        <v>5000000</v>
      </c>
      <c r="I595" s="195">
        <v>2.5000000000000001E-2</v>
      </c>
      <c r="J595" s="206">
        <f t="shared" ref="J595:J612" si="128">(H595-Z595)/N595</f>
        <v>1.0000000000000009</v>
      </c>
      <c r="K595" s="213">
        <v>36</v>
      </c>
      <c r="L595" s="198">
        <f t="shared" si="125"/>
        <v>2.7777777777777804E-2</v>
      </c>
      <c r="M595" s="194">
        <v>5000000</v>
      </c>
      <c r="N595" s="199">
        <f t="shared" si="127"/>
        <v>138888.88888888888</v>
      </c>
      <c r="O595" s="200">
        <f t="shared" si="123"/>
        <v>125000</v>
      </c>
      <c r="P595" s="200">
        <v>10000</v>
      </c>
      <c r="Q595" s="200">
        <f t="shared" si="121"/>
        <v>273888.88888888888</v>
      </c>
      <c r="R595" s="201">
        <f>'[1]NOV''25'!Q607+N595-V595</f>
        <v>0</v>
      </c>
      <c r="S595" s="201">
        <f>'[1]NOV''25'!R607+O595-W595</f>
        <v>0</v>
      </c>
      <c r="T595" s="201">
        <f>'[1]NOV''25'!S607+P595-X595</f>
        <v>0</v>
      </c>
      <c r="U595" s="200">
        <f t="shared" si="124"/>
        <v>0</v>
      </c>
      <c r="V595" s="202">
        <v>138888.88888888899</v>
      </c>
      <c r="W595" s="203">
        <v>125000</v>
      </c>
      <c r="X595" s="203">
        <v>10000</v>
      </c>
      <c r="Y595" s="200">
        <f t="shared" si="118"/>
        <v>273888.88888888899</v>
      </c>
      <c r="Z595" s="207">
        <f t="shared" ref="Z595:Z609" si="129">SUM(M595-V595)</f>
        <v>4861111.111111111</v>
      </c>
      <c r="AA595" s="53"/>
      <c r="AB595" s="96" t="e">
        <f>#REF!-#REF!</f>
        <v>#REF!</v>
      </c>
    </row>
    <row r="596" spans="2:28" s="55" customFormat="1" x14ac:dyDescent="0.3">
      <c r="B596" s="191">
        <f t="shared" ref="B596:B612" si="130">B595+1</f>
        <v>471</v>
      </c>
      <c r="C596" s="205" t="s">
        <v>1039</v>
      </c>
      <c r="D596" s="192"/>
      <c r="E596" s="208">
        <v>45965</v>
      </c>
      <c r="F596" s="192" t="s">
        <v>1040</v>
      </c>
      <c r="G596" s="209" t="s">
        <v>298</v>
      </c>
      <c r="H596" s="194">
        <v>2145000</v>
      </c>
      <c r="I596" s="195">
        <v>2.5000000000000001E-2</v>
      </c>
      <c r="J596" s="206">
        <f t="shared" si="128"/>
        <v>0.99999999999999867</v>
      </c>
      <c r="K596" s="213">
        <v>36</v>
      </c>
      <c r="L596" s="198">
        <f t="shared" si="125"/>
        <v>2.7777777777777742E-2</v>
      </c>
      <c r="M596" s="194">
        <v>2145000</v>
      </c>
      <c r="N596" s="199">
        <f t="shared" si="127"/>
        <v>59583.333333333336</v>
      </c>
      <c r="O596" s="200">
        <f t="shared" si="123"/>
        <v>53625</v>
      </c>
      <c r="P596" s="200">
        <v>10000</v>
      </c>
      <c r="Q596" s="200">
        <f t="shared" si="121"/>
        <v>123208.33333333334</v>
      </c>
      <c r="R596" s="201">
        <f>'[1]NOV''25'!Q608+N596-V596</f>
        <v>0</v>
      </c>
      <c r="S596" s="201">
        <f>'[1]NOV''25'!R608+O596-W596</f>
        <v>0</v>
      </c>
      <c r="T596" s="201">
        <f>'[1]NOV''25'!S608+P596-X596</f>
        <v>0</v>
      </c>
      <c r="U596" s="200">
        <f t="shared" si="124"/>
        <v>0</v>
      </c>
      <c r="V596" s="202">
        <v>59583.333333333299</v>
      </c>
      <c r="W596" s="203">
        <v>53625</v>
      </c>
      <c r="X596" s="203">
        <v>10000</v>
      </c>
      <c r="Y596" s="200">
        <f t="shared" ref="Y596:Y612" si="131">+V596+W596+X596</f>
        <v>123208.3333333333</v>
      </c>
      <c r="Z596" s="207">
        <f t="shared" si="129"/>
        <v>2085416.6666666667</v>
      </c>
      <c r="AA596" s="53"/>
      <c r="AB596" s="96" t="e">
        <f>#REF!-#REF!</f>
        <v>#REF!</v>
      </c>
    </row>
    <row r="597" spans="2:28" s="150" customFormat="1" x14ac:dyDescent="0.3">
      <c r="B597" s="100">
        <f t="shared" si="130"/>
        <v>472</v>
      </c>
      <c r="C597" s="117" t="s">
        <v>1041</v>
      </c>
      <c r="D597" s="101"/>
      <c r="E597" s="113">
        <v>45965</v>
      </c>
      <c r="F597" s="101" t="s">
        <v>226</v>
      </c>
      <c r="G597" s="145" t="s">
        <v>298</v>
      </c>
      <c r="H597" s="107">
        <v>2496000</v>
      </c>
      <c r="I597" s="118">
        <v>2.5000000000000001E-2</v>
      </c>
      <c r="J597" s="149">
        <f t="shared" si="128"/>
        <v>1.0000000000000022</v>
      </c>
      <c r="K597" s="307">
        <v>36</v>
      </c>
      <c r="L597" s="106">
        <f t="shared" si="125"/>
        <v>2.7777777777777839E-2</v>
      </c>
      <c r="M597" s="107">
        <v>2496000</v>
      </c>
      <c r="N597" s="108">
        <f t="shared" si="127"/>
        <v>69333.333333333328</v>
      </c>
      <c r="O597" s="109">
        <f t="shared" si="123"/>
        <v>62400</v>
      </c>
      <c r="P597" s="109">
        <v>10000</v>
      </c>
      <c r="Q597" s="109">
        <f t="shared" si="121"/>
        <v>141733.33333333331</v>
      </c>
      <c r="R597" s="201">
        <f>'[1]NOV''25'!Q609+N597-V597</f>
        <v>0</v>
      </c>
      <c r="S597" s="201">
        <f>'[1]NOV''25'!R609+O597-W597</f>
        <v>0</v>
      </c>
      <c r="T597" s="201">
        <f>'[1]NOV''25'!S609+P597-X597</f>
        <v>0</v>
      </c>
      <c r="U597" s="109">
        <f t="shared" si="124"/>
        <v>0</v>
      </c>
      <c r="V597" s="110">
        <v>69333.333333333299</v>
      </c>
      <c r="W597" s="111">
        <v>62400</v>
      </c>
      <c r="X597" s="111">
        <v>10000</v>
      </c>
      <c r="Y597" s="109">
        <f t="shared" si="131"/>
        <v>141733.33333333331</v>
      </c>
      <c r="Z597" s="141">
        <f t="shared" si="129"/>
        <v>2426666.6666666665</v>
      </c>
      <c r="AA597" s="151"/>
      <c r="AB597" s="96" t="e">
        <f>#REF!-#REF!</f>
        <v>#REF!</v>
      </c>
    </row>
    <row r="598" spans="2:28" s="55" customFormat="1" x14ac:dyDescent="0.3">
      <c r="B598" s="191">
        <f t="shared" si="130"/>
        <v>473</v>
      </c>
      <c r="C598" s="205" t="s">
        <v>1042</v>
      </c>
      <c r="D598" s="192"/>
      <c r="E598" s="208">
        <v>45965</v>
      </c>
      <c r="F598" s="192" t="s">
        <v>1043</v>
      </c>
      <c r="G598" s="209" t="s">
        <v>850</v>
      </c>
      <c r="H598" s="194">
        <v>14700000</v>
      </c>
      <c r="I598" s="195">
        <v>2.5000000000000001E-2</v>
      </c>
      <c r="J598" s="206">
        <f t="shared" si="128"/>
        <v>0.999999999999997</v>
      </c>
      <c r="K598" s="213">
        <v>36</v>
      </c>
      <c r="L598" s="198">
        <f t="shared" si="125"/>
        <v>2.7777777777777693E-2</v>
      </c>
      <c r="M598" s="194">
        <v>14700000</v>
      </c>
      <c r="N598" s="199">
        <f t="shared" si="127"/>
        <v>408333.33333333331</v>
      </c>
      <c r="O598" s="200">
        <f t="shared" si="123"/>
        <v>367500</v>
      </c>
      <c r="P598" s="200">
        <v>10000</v>
      </c>
      <c r="Q598" s="200">
        <f t="shared" si="121"/>
        <v>785833.33333333326</v>
      </c>
      <c r="R598" s="201">
        <f>'[1]NOV''25'!Q610+N598-V598</f>
        <v>0</v>
      </c>
      <c r="S598" s="201">
        <f>'[1]NOV''25'!R610+O598-W598</f>
        <v>0</v>
      </c>
      <c r="T598" s="201">
        <f>'[1]NOV''25'!S610+P598-X598</f>
        <v>0</v>
      </c>
      <c r="U598" s="200">
        <f t="shared" si="124"/>
        <v>0</v>
      </c>
      <c r="V598" s="202">
        <v>408333.33333333302</v>
      </c>
      <c r="W598" s="203">
        <v>367500</v>
      </c>
      <c r="X598" s="203">
        <v>10000</v>
      </c>
      <c r="Y598" s="200">
        <f t="shared" si="131"/>
        <v>785833.33333333302</v>
      </c>
      <c r="Z598" s="207">
        <f t="shared" si="129"/>
        <v>14291666.666666668</v>
      </c>
      <c r="AA598" s="53"/>
      <c r="AB598" s="96" t="e">
        <f>#REF!-#REF!</f>
        <v>#REF!</v>
      </c>
    </row>
    <row r="599" spans="2:28" s="150" customFormat="1" x14ac:dyDescent="0.3">
      <c r="B599" s="100">
        <f t="shared" si="130"/>
        <v>474</v>
      </c>
      <c r="C599" s="117" t="s">
        <v>1044</v>
      </c>
      <c r="D599" s="101"/>
      <c r="E599" s="113">
        <v>45966</v>
      </c>
      <c r="F599" s="101" t="s">
        <v>229</v>
      </c>
      <c r="G599" s="145" t="s">
        <v>701</v>
      </c>
      <c r="H599" s="107">
        <v>11507000</v>
      </c>
      <c r="I599" s="118">
        <v>2.5000000000000001E-2</v>
      </c>
      <c r="J599" s="149">
        <f t="shared" si="128"/>
        <v>0.99999999999999745</v>
      </c>
      <c r="K599" s="307">
        <v>36</v>
      </c>
      <c r="L599" s="106">
        <f t="shared" si="125"/>
        <v>2.7777777777777707E-2</v>
      </c>
      <c r="M599" s="107">
        <v>11507000</v>
      </c>
      <c r="N599" s="108">
        <f t="shared" si="127"/>
        <v>319638.88888888888</v>
      </c>
      <c r="O599" s="109">
        <f t="shared" si="123"/>
        <v>287675</v>
      </c>
      <c r="P599" s="200">
        <v>10000</v>
      </c>
      <c r="Q599" s="109">
        <f t="shared" si="121"/>
        <v>617313.88888888888</v>
      </c>
      <c r="R599" s="201">
        <f>'[1]NOV''25'!Q611+N599-V599</f>
        <v>0</v>
      </c>
      <c r="S599" s="201">
        <f>'[1]NOV''25'!R611+O599-W599</f>
        <v>0</v>
      </c>
      <c r="T599" s="201">
        <f>'[1]NOV''25'!S611+P599-X599</f>
        <v>0</v>
      </c>
      <c r="U599" s="109">
        <f t="shared" si="124"/>
        <v>0</v>
      </c>
      <c r="V599" s="110">
        <v>319638.88888888899</v>
      </c>
      <c r="W599" s="111">
        <v>287675</v>
      </c>
      <c r="X599" s="111">
        <v>10000</v>
      </c>
      <c r="Y599" s="109">
        <f t="shared" si="131"/>
        <v>617313.88888888899</v>
      </c>
      <c r="Z599" s="141">
        <f t="shared" si="129"/>
        <v>11187361.111111112</v>
      </c>
      <c r="AA599" s="151"/>
      <c r="AB599" s="96" t="e">
        <f>#REF!-#REF!</f>
        <v>#REF!</v>
      </c>
    </row>
    <row r="600" spans="2:28" s="55" customFormat="1" x14ac:dyDescent="0.3">
      <c r="B600" s="191">
        <f t="shared" si="130"/>
        <v>475</v>
      </c>
      <c r="C600" s="205" t="s">
        <v>1045</v>
      </c>
      <c r="D600" s="192"/>
      <c r="E600" s="208">
        <v>45967</v>
      </c>
      <c r="F600" s="192" t="s">
        <v>1046</v>
      </c>
      <c r="G600" s="209" t="s">
        <v>1047</v>
      </c>
      <c r="H600" s="194">
        <v>7000000</v>
      </c>
      <c r="I600" s="195">
        <v>2.5000000000000001E-2</v>
      </c>
      <c r="J600" s="206">
        <f t="shared" si="128"/>
        <v>0.99999999999999789</v>
      </c>
      <c r="K600" s="213">
        <v>36</v>
      </c>
      <c r="L600" s="198">
        <f t="shared" si="125"/>
        <v>2.7777777777777721E-2</v>
      </c>
      <c r="M600" s="194">
        <v>7000000</v>
      </c>
      <c r="N600" s="199">
        <f t="shared" si="127"/>
        <v>194444.44444444444</v>
      </c>
      <c r="O600" s="200">
        <f t="shared" si="123"/>
        <v>175000</v>
      </c>
      <c r="P600" s="200">
        <v>10000</v>
      </c>
      <c r="Q600" s="200">
        <f t="shared" si="121"/>
        <v>379444.44444444444</v>
      </c>
      <c r="R600" s="201">
        <f>'[1]NOV''25'!Q612+N600-V600</f>
        <v>4.3655745685100555E-10</v>
      </c>
      <c r="S600" s="201">
        <f>'[1]NOV''25'!R612+O600-W600</f>
        <v>0</v>
      </c>
      <c r="T600" s="201">
        <f>'[1]NOV''25'!S612+P600-X600</f>
        <v>0</v>
      </c>
      <c r="U600" s="200">
        <f t="shared" si="124"/>
        <v>4.3655745685100555E-10</v>
      </c>
      <c r="V600" s="202">
        <v>194444.444444444</v>
      </c>
      <c r="W600" s="203">
        <v>175000</v>
      </c>
      <c r="X600" s="203">
        <v>10000</v>
      </c>
      <c r="Y600" s="200">
        <f t="shared" si="131"/>
        <v>379444.44444444403</v>
      </c>
      <c r="Z600" s="207">
        <f t="shared" si="129"/>
        <v>6805555.555555556</v>
      </c>
      <c r="AA600" s="53"/>
      <c r="AB600" s="96" t="e">
        <f>#REF!-#REF!</f>
        <v>#REF!</v>
      </c>
    </row>
    <row r="601" spans="2:28" s="55" customFormat="1" x14ac:dyDescent="0.3">
      <c r="B601" s="191">
        <f t="shared" si="130"/>
        <v>476</v>
      </c>
      <c r="C601" s="205" t="s">
        <v>1048</v>
      </c>
      <c r="D601" s="192"/>
      <c r="E601" s="208">
        <v>45967</v>
      </c>
      <c r="F601" s="192" t="s">
        <v>1049</v>
      </c>
      <c r="G601" s="209" t="s">
        <v>850</v>
      </c>
      <c r="H601" s="194">
        <v>2679000</v>
      </c>
      <c r="I601" s="195">
        <v>2.5000000000000001E-2</v>
      </c>
      <c r="J601" s="206">
        <f t="shared" si="128"/>
        <v>0.99999999999999789</v>
      </c>
      <c r="K601" s="213">
        <v>36</v>
      </c>
      <c r="L601" s="198">
        <f t="shared" si="125"/>
        <v>2.7777777777777721E-2</v>
      </c>
      <c r="M601" s="194">
        <v>2679000</v>
      </c>
      <c r="N601" s="199">
        <f t="shared" si="127"/>
        <v>74416.666666666672</v>
      </c>
      <c r="O601" s="200">
        <f t="shared" si="123"/>
        <v>66975</v>
      </c>
      <c r="P601" s="200">
        <v>10000</v>
      </c>
      <c r="Q601" s="200">
        <f t="shared" si="121"/>
        <v>151391.66666666669</v>
      </c>
      <c r="R601" s="201">
        <f>'[1]NOV''25'!Q613+N601-V601</f>
        <v>0</v>
      </c>
      <c r="S601" s="201">
        <f>'[1]NOV''25'!R613+O601-W601</f>
        <v>0</v>
      </c>
      <c r="T601" s="201">
        <f>'[1]NOV''25'!S613+P601-X601</f>
        <v>0</v>
      </c>
      <c r="U601" s="200">
        <f t="shared" si="124"/>
        <v>0</v>
      </c>
      <c r="V601" s="202">
        <v>74416.666666666701</v>
      </c>
      <c r="W601" s="203">
        <v>66975</v>
      </c>
      <c r="X601" s="203">
        <v>10000</v>
      </c>
      <c r="Y601" s="200">
        <f t="shared" si="131"/>
        <v>151391.66666666669</v>
      </c>
      <c r="Z601" s="207">
        <f t="shared" si="129"/>
        <v>2604583.3333333335</v>
      </c>
      <c r="AA601" s="53"/>
      <c r="AB601" s="96" t="e">
        <f>#REF!-#REF!</f>
        <v>#REF!</v>
      </c>
    </row>
    <row r="602" spans="2:28" s="55" customFormat="1" x14ac:dyDescent="0.3">
      <c r="B602" s="191">
        <f t="shared" si="130"/>
        <v>477</v>
      </c>
      <c r="C602" s="205" t="s">
        <v>1050</v>
      </c>
      <c r="D602" s="192"/>
      <c r="E602" s="208">
        <v>45968</v>
      </c>
      <c r="F602" s="192" t="s">
        <v>1051</v>
      </c>
      <c r="G602" s="209" t="s">
        <v>1047</v>
      </c>
      <c r="H602" s="194">
        <v>2400000</v>
      </c>
      <c r="I602" s="195">
        <v>2.5000000000000001E-2</v>
      </c>
      <c r="J602" s="206">
        <f t="shared" si="128"/>
        <v>0.99999999999999756</v>
      </c>
      <c r="K602" s="213">
        <v>36</v>
      </c>
      <c r="L602" s="198">
        <f t="shared" si="125"/>
        <v>2.777777777777771E-2</v>
      </c>
      <c r="M602" s="194">
        <v>2400000</v>
      </c>
      <c r="N602" s="199">
        <f t="shared" si="127"/>
        <v>66666.666666666672</v>
      </c>
      <c r="O602" s="200">
        <f t="shared" si="123"/>
        <v>60000</v>
      </c>
      <c r="P602" s="200">
        <v>10000</v>
      </c>
      <c r="Q602" s="200">
        <f t="shared" si="121"/>
        <v>136666.66666666669</v>
      </c>
      <c r="R602" s="201">
        <f>'[1]NOV''25'!Q614+N602-V602</f>
        <v>0</v>
      </c>
      <c r="S602" s="201">
        <f>'[1]NOV''25'!R614+O602-W602</f>
        <v>0</v>
      </c>
      <c r="T602" s="201">
        <f>'[1]NOV''25'!S614+P602-X602</f>
        <v>0</v>
      </c>
      <c r="U602" s="200">
        <f t="shared" si="124"/>
        <v>0</v>
      </c>
      <c r="V602" s="202">
        <v>66666.666666666701</v>
      </c>
      <c r="W602" s="203">
        <v>60000</v>
      </c>
      <c r="X602" s="203">
        <v>10000</v>
      </c>
      <c r="Y602" s="200">
        <f t="shared" si="131"/>
        <v>136666.66666666669</v>
      </c>
      <c r="Z602" s="207">
        <f t="shared" si="129"/>
        <v>2333333.3333333335</v>
      </c>
      <c r="AA602" s="53"/>
      <c r="AB602" s="96" t="e">
        <f>#REF!-#REF!</f>
        <v>#REF!</v>
      </c>
    </row>
    <row r="603" spans="2:28" s="150" customFormat="1" x14ac:dyDescent="0.3">
      <c r="B603" s="100">
        <f t="shared" si="130"/>
        <v>478</v>
      </c>
      <c r="C603" s="117" t="s">
        <v>1052</v>
      </c>
      <c r="D603" s="101"/>
      <c r="E603" s="113">
        <v>45968</v>
      </c>
      <c r="F603" s="101" t="s">
        <v>228</v>
      </c>
      <c r="G603" s="145" t="s">
        <v>298</v>
      </c>
      <c r="H603" s="107">
        <v>11517000</v>
      </c>
      <c r="I603" s="118">
        <v>2.5000000000000001E-2</v>
      </c>
      <c r="J603" s="149">
        <f t="shared" si="128"/>
        <v>1.0000000000000038</v>
      </c>
      <c r="K603" s="307">
        <v>36</v>
      </c>
      <c r="L603" s="106">
        <f t="shared" si="125"/>
        <v>2.7777777777777884E-2</v>
      </c>
      <c r="M603" s="107">
        <v>11517000</v>
      </c>
      <c r="N603" s="108">
        <f t="shared" si="127"/>
        <v>319916.66666666669</v>
      </c>
      <c r="O603" s="109">
        <f t="shared" si="123"/>
        <v>287925</v>
      </c>
      <c r="P603" s="109">
        <v>10000</v>
      </c>
      <c r="Q603" s="109">
        <f t="shared" si="121"/>
        <v>617841.66666666674</v>
      </c>
      <c r="R603" s="146">
        <f>'[1]NOV''25'!Q615+N603-V603</f>
        <v>0</v>
      </c>
      <c r="S603" s="146">
        <f>'[1]NOV''25'!R615+O603-W603</f>
        <v>0</v>
      </c>
      <c r="T603" s="146">
        <f>'[1]NOV''25'!S615+P603-X603</f>
        <v>0</v>
      </c>
      <c r="U603" s="109">
        <f t="shared" si="124"/>
        <v>0</v>
      </c>
      <c r="V603" s="110">
        <v>319916.66666666698</v>
      </c>
      <c r="W603" s="111">
        <v>287925</v>
      </c>
      <c r="X603" s="111">
        <v>10000</v>
      </c>
      <c r="Y603" s="109">
        <f t="shared" si="131"/>
        <v>617841.66666666698</v>
      </c>
      <c r="Z603" s="141">
        <f t="shared" si="129"/>
        <v>11197083.333333332</v>
      </c>
      <c r="AA603" s="151"/>
      <c r="AB603" s="96" t="e">
        <f>#REF!-#REF!</f>
        <v>#REF!</v>
      </c>
    </row>
    <row r="604" spans="2:28" s="265" customFormat="1" x14ac:dyDescent="0.3">
      <c r="B604" s="250">
        <f t="shared" si="130"/>
        <v>479</v>
      </c>
      <c r="C604" s="273" t="s">
        <v>615</v>
      </c>
      <c r="D604" s="251"/>
      <c r="E604" s="252">
        <v>45971</v>
      </c>
      <c r="F604" s="251" t="s">
        <v>1053</v>
      </c>
      <c r="G604" s="253" t="s">
        <v>1054</v>
      </c>
      <c r="H604" s="254">
        <v>2453000</v>
      </c>
      <c r="I604" s="255">
        <v>2.5000000000000001E-2</v>
      </c>
      <c r="J604" s="256">
        <f t="shared" si="128"/>
        <v>1.0000000000000016</v>
      </c>
      <c r="K604" s="267">
        <v>36</v>
      </c>
      <c r="L604" s="258">
        <f t="shared" si="125"/>
        <v>2.7777777777777821E-2</v>
      </c>
      <c r="M604" s="254">
        <v>2453000</v>
      </c>
      <c r="N604" s="259">
        <f t="shared" si="127"/>
        <v>68138.888888888891</v>
      </c>
      <c r="O604" s="260">
        <f t="shared" si="123"/>
        <v>61325</v>
      </c>
      <c r="P604" s="260">
        <v>10000</v>
      </c>
      <c r="Q604" s="260">
        <f t="shared" si="121"/>
        <v>139463.88888888888</v>
      </c>
      <c r="R604" s="201">
        <f>'[1]NOV''25'!Q616+N604-V604</f>
        <v>0</v>
      </c>
      <c r="S604" s="201">
        <f>'[1]NOV''25'!R616+O604-W604</f>
        <v>0</v>
      </c>
      <c r="T604" s="201">
        <f>'[1]NOV''25'!S616+P604-X604</f>
        <v>0</v>
      </c>
      <c r="U604" s="260">
        <f t="shared" si="124"/>
        <v>0</v>
      </c>
      <c r="V604" s="261">
        <v>68138.888888888905</v>
      </c>
      <c r="W604" s="262">
        <v>61325</v>
      </c>
      <c r="X604" s="262">
        <v>10000</v>
      </c>
      <c r="Y604" s="260">
        <f t="shared" si="131"/>
        <v>139463.88888888891</v>
      </c>
      <c r="Z604" s="263">
        <f t="shared" si="129"/>
        <v>2384861.111111111</v>
      </c>
      <c r="AA604" s="264" t="s">
        <v>547</v>
      </c>
      <c r="AB604" s="96" t="e">
        <f>#REF!-#REF!</f>
        <v>#REF!</v>
      </c>
    </row>
    <row r="605" spans="2:28" s="55" customFormat="1" x14ac:dyDescent="0.3">
      <c r="B605" s="191">
        <f t="shared" si="130"/>
        <v>480</v>
      </c>
      <c r="C605" s="205" t="s">
        <v>1055</v>
      </c>
      <c r="D605" s="192"/>
      <c r="E605" s="208">
        <v>45972</v>
      </c>
      <c r="F605" s="192" t="s">
        <v>1056</v>
      </c>
      <c r="G605" s="209" t="s">
        <v>1047</v>
      </c>
      <c r="H605" s="194">
        <v>10000000</v>
      </c>
      <c r="I605" s="195">
        <v>2.5000000000000001E-2</v>
      </c>
      <c r="J605" s="206">
        <f t="shared" si="128"/>
        <v>1.0000000000000009</v>
      </c>
      <c r="K605" s="213">
        <v>36</v>
      </c>
      <c r="L605" s="198">
        <f t="shared" si="125"/>
        <v>2.7777777777777804E-2</v>
      </c>
      <c r="M605" s="194">
        <v>10000000</v>
      </c>
      <c r="N605" s="199">
        <f t="shared" si="127"/>
        <v>277777.77777777775</v>
      </c>
      <c r="O605" s="200">
        <f t="shared" si="123"/>
        <v>250000</v>
      </c>
      <c r="P605" s="200">
        <v>10000</v>
      </c>
      <c r="Q605" s="200">
        <f t="shared" si="121"/>
        <v>537777.77777777775</v>
      </c>
      <c r="R605" s="201">
        <f>'[1]NOV''25'!Q617+N605-V605</f>
        <v>0</v>
      </c>
      <c r="S605" s="201">
        <f>'[1]NOV''25'!R617+O605-W605</f>
        <v>0</v>
      </c>
      <c r="T605" s="201">
        <f>'[1]NOV''25'!S617+P605-X605</f>
        <v>0</v>
      </c>
      <c r="U605" s="200">
        <f t="shared" si="124"/>
        <v>0</v>
      </c>
      <c r="V605" s="202">
        <v>277777.77777777798</v>
      </c>
      <c r="W605" s="203">
        <v>250000</v>
      </c>
      <c r="X605" s="203">
        <v>10000</v>
      </c>
      <c r="Y605" s="200">
        <f t="shared" si="131"/>
        <v>537777.77777777798</v>
      </c>
      <c r="Z605" s="207">
        <f t="shared" si="129"/>
        <v>9722222.222222222</v>
      </c>
      <c r="AA605" s="53"/>
      <c r="AB605" s="96" t="e">
        <f>#REF!-#REF!</f>
        <v>#REF!</v>
      </c>
    </row>
    <row r="606" spans="2:28" s="55" customFormat="1" x14ac:dyDescent="0.3">
      <c r="B606" s="191">
        <f t="shared" si="130"/>
        <v>481</v>
      </c>
      <c r="C606" s="205" t="s">
        <v>1057</v>
      </c>
      <c r="D606" s="192"/>
      <c r="E606" s="208">
        <v>45972</v>
      </c>
      <c r="F606" s="192" t="s">
        <v>1058</v>
      </c>
      <c r="G606" s="209" t="s">
        <v>1047</v>
      </c>
      <c r="H606" s="194">
        <v>13400000</v>
      </c>
      <c r="I606" s="195">
        <v>2.5000000000000001E-2</v>
      </c>
      <c r="J606" s="206">
        <f t="shared" si="128"/>
        <v>0.99999999999999933</v>
      </c>
      <c r="K606" s="213">
        <v>36</v>
      </c>
      <c r="L606" s="198">
        <f t="shared" si="125"/>
        <v>2.7777777777777759E-2</v>
      </c>
      <c r="M606" s="194">
        <v>13400000</v>
      </c>
      <c r="N606" s="199">
        <f t="shared" si="127"/>
        <v>372222.22222222225</v>
      </c>
      <c r="O606" s="200">
        <f t="shared" si="123"/>
        <v>335000</v>
      </c>
      <c r="P606" s="200">
        <v>10000</v>
      </c>
      <c r="Q606" s="200">
        <f t="shared" si="121"/>
        <v>717222.22222222225</v>
      </c>
      <c r="R606" s="201">
        <f>'[1]NOV''25'!Q618+N606-V606</f>
        <v>0</v>
      </c>
      <c r="S606" s="201">
        <f>'[1]NOV''25'!R618+O606-W606</f>
        <v>0</v>
      </c>
      <c r="T606" s="201">
        <f>'[1]NOV''25'!S618+P606-X606</f>
        <v>0</v>
      </c>
      <c r="U606" s="200">
        <f t="shared" si="124"/>
        <v>0</v>
      </c>
      <c r="V606" s="202">
        <v>372222.22222222202</v>
      </c>
      <c r="W606" s="203">
        <v>335000</v>
      </c>
      <c r="X606" s="203">
        <v>10000</v>
      </c>
      <c r="Y606" s="200">
        <f t="shared" si="131"/>
        <v>717222.22222222202</v>
      </c>
      <c r="Z606" s="207">
        <f t="shared" si="129"/>
        <v>13027777.777777778</v>
      </c>
      <c r="AA606" s="53"/>
      <c r="AB606" s="96" t="e">
        <f>#REF!-#REF!</f>
        <v>#REF!</v>
      </c>
    </row>
    <row r="607" spans="2:28" s="150" customFormat="1" x14ac:dyDescent="0.3">
      <c r="B607" s="100">
        <f t="shared" si="130"/>
        <v>482</v>
      </c>
      <c r="C607" s="117" t="s">
        <v>1059</v>
      </c>
      <c r="D607" s="101"/>
      <c r="E607" s="113">
        <v>45973</v>
      </c>
      <c r="F607" s="101" t="s">
        <v>230</v>
      </c>
      <c r="G607" s="145" t="s">
        <v>298</v>
      </c>
      <c r="H607" s="107">
        <v>8070000</v>
      </c>
      <c r="I607" s="118">
        <v>2.5000000000000001E-2</v>
      </c>
      <c r="J607" s="149">
        <f t="shared" si="128"/>
        <v>1.0000000000000013</v>
      </c>
      <c r="K607" s="307">
        <v>36</v>
      </c>
      <c r="L607" s="106">
        <f t="shared" si="125"/>
        <v>2.7777777777777814E-2</v>
      </c>
      <c r="M607" s="107">
        <v>8070000</v>
      </c>
      <c r="N607" s="108">
        <f t="shared" si="127"/>
        <v>224166.66666666666</v>
      </c>
      <c r="O607" s="109">
        <f t="shared" si="123"/>
        <v>201750</v>
      </c>
      <c r="P607" s="109">
        <v>10000</v>
      </c>
      <c r="Q607" s="109">
        <f t="shared" si="121"/>
        <v>435916.66666666663</v>
      </c>
      <c r="R607" s="146">
        <f>'[1]NOV''25'!Q619+N607-V607</f>
        <v>-3.4924596548080444E-10</v>
      </c>
      <c r="S607" s="146">
        <f>'[1]NOV''25'!R619+O607-W607</f>
        <v>0</v>
      </c>
      <c r="T607" s="146">
        <f>'[1]NOV''25'!S619+P607-X607</f>
        <v>0</v>
      </c>
      <c r="U607" s="109">
        <f t="shared" si="124"/>
        <v>-3.4924596548080444E-10</v>
      </c>
      <c r="V607" s="110">
        <v>224166.66666666701</v>
      </c>
      <c r="W607" s="111">
        <v>201750</v>
      </c>
      <c r="X607" s="111">
        <v>10000</v>
      </c>
      <c r="Y607" s="109">
        <f t="shared" si="131"/>
        <v>435916.66666666698</v>
      </c>
      <c r="Z607" s="141">
        <f t="shared" si="129"/>
        <v>7845833.333333333</v>
      </c>
      <c r="AA607" s="151"/>
      <c r="AB607" s="96" t="e">
        <f>#REF!-#REF!</f>
        <v>#REF!</v>
      </c>
    </row>
    <row r="608" spans="2:28" s="55" customFormat="1" x14ac:dyDescent="0.3">
      <c r="B608" s="191">
        <f t="shared" si="130"/>
        <v>483</v>
      </c>
      <c r="C608" s="205" t="s">
        <v>1060</v>
      </c>
      <c r="D608" s="192"/>
      <c r="E608" s="208">
        <v>45975</v>
      </c>
      <c r="F608" s="192" t="s">
        <v>1061</v>
      </c>
      <c r="G608" s="209" t="s">
        <v>1047</v>
      </c>
      <c r="H608" s="194">
        <v>9000000</v>
      </c>
      <c r="I608" s="195">
        <v>2.5000000000000001E-2</v>
      </c>
      <c r="J608" s="206">
        <f t="shared" si="128"/>
        <v>1</v>
      </c>
      <c r="K608" s="213">
        <v>36</v>
      </c>
      <c r="L608" s="198">
        <f t="shared" si="125"/>
        <v>2.7777777777777776E-2</v>
      </c>
      <c r="M608" s="194">
        <v>9000000</v>
      </c>
      <c r="N608" s="199">
        <f t="shared" si="127"/>
        <v>250000</v>
      </c>
      <c r="O608" s="200">
        <f t="shared" si="123"/>
        <v>225000</v>
      </c>
      <c r="P608" s="200">
        <v>10000</v>
      </c>
      <c r="Q608" s="200">
        <f t="shared" ref="Q608:Q612" si="132">+N608+O608+P608</f>
        <v>485000</v>
      </c>
      <c r="R608" s="201">
        <f>'[1]NOV''25'!Q620+N608-V608</f>
        <v>0</v>
      </c>
      <c r="S608" s="201">
        <f>'[1]NOV''25'!R620+O608-W608</f>
        <v>0</v>
      </c>
      <c r="T608" s="201">
        <f>'[1]NOV''25'!S620+P608-X608</f>
        <v>0</v>
      </c>
      <c r="U608" s="200">
        <f t="shared" si="124"/>
        <v>0</v>
      </c>
      <c r="V608" s="202">
        <v>250000</v>
      </c>
      <c r="W608" s="203">
        <v>225000</v>
      </c>
      <c r="X608" s="203">
        <v>10000</v>
      </c>
      <c r="Y608" s="200">
        <f t="shared" si="131"/>
        <v>485000</v>
      </c>
      <c r="Z608" s="207">
        <f t="shared" si="129"/>
        <v>8750000</v>
      </c>
      <c r="AA608" s="53"/>
      <c r="AB608" s="96" t="e">
        <f>#REF!-#REF!</f>
        <v>#REF!</v>
      </c>
    </row>
    <row r="609" spans="2:28" s="150" customFormat="1" x14ac:dyDescent="0.3">
      <c r="B609" s="100">
        <f t="shared" si="130"/>
        <v>484</v>
      </c>
      <c r="C609" s="117" t="s">
        <v>1062</v>
      </c>
      <c r="D609" s="101"/>
      <c r="E609" s="113">
        <v>45979</v>
      </c>
      <c r="F609" s="101" t="s">
        <v>227</v>
      </c>
      <c r="G609" s="145" t="s">
        <v>1063</v>
      </c>
      <c r="H609" s="107">
        <v>4400000</v>
      </c>
      <c r="I609" s="118">
        <v>2.5000000000000001E-2</v>
      </c>
      <c r="J609" s="149">
        <f t="shared" si="128"/>
        <v>0.99999999999999833</v>
      </c>
      <c r="K609" s="307">
        <v>36</v>
      </c>
      <c r="L609" s="106">
        <f t="shared" si="125"/>
        <v>2.7777777777777731E-2</v>
      </c>
      <c r="M609" s="107">
        <v>4400000</v>
      </c>
      <c r="N609" s="108">
        <f t="shared" si="127"/>
        <v>122222.22222222222</v>
      </c>
      <c r="O609" s="109">
        <f t="shared" si="123"/>
        <v>110000</v>
      </c>
      <c r="P609" s="109">
        <v>10000</v>
      </c>
      <c r="Q609" s="109">
        <f t="shared" si="132"/>
        <v>242222.22222222222</v>
      </c>
      <c r="R609" s="146">
        <f>'[1]NOV''25'!Q621+N609-V609</f>
        <v>2.1827872842550278E-10</v>
      </c>
      <c r="S609" s="146">
        <f>'[1]NOV''25'!R621+O609-W609</f>
        <v>0</v>
      </c>
      <c r="T609" s="146">
        <f>'[1]NOV''25'!S621+P609-X609</f>
        <v>0</v>
      </c>
      <c r="U609" s="109">
        <f t="shared" si="124"/>
        <v>2.1827872842550278E-10</v>
      </c>
      <c r="V609" s="110">
        <v>122222.222222222</v>
      </c>
      <c r="W609" s="111">
        <v>110000</v>
      </c>
      <c r="X609" s="111">
        <v>10000</v>
      </c>
      <c r="Y609" s="109">
        <f t="shared" si="131"/>
        <v>242222.22222222202</v>
      </c>
      <c r="Z609" s="141">
        <f t="shared" si="129"/>
        <v>4277777.777777778</v>
      </c>
      <c r="AA609" s="151"/>
      <c r="AB609" s="96" t="e">
        <f>#REF!-#REF!</f>
        <v>#REF!</v>
      </c>
    </row>
    <row r="610" spans="2:28" s="55" customFormat="1" x14ac:dyDescent="0.3">
      <c r="B610" s="191">
        <f t="shared" si="130"/>
        <v>485</v>
      </c>
      <c r="C610" s="205" t="s">
        <v>1064</v>
      </c>
      <c r="D610" s="192"/>
      <c r="E610" s="208">
        <v>45985</v>
      </c>
      <c r="F610" s="192" t="s">
        <v>1065</v>
      </c>
      <c r="G610" s="209" t="s">
        <v>1066</v>
      </c>
      <c r="H610" s="194">
        <v>11150000</v>
      </c>
      <c r="I610" s="195">
        <v>2.5000000000000001E-2</v>
      </c>
      <c r="J610" s="206">
        <f t="shared" si="128"/>
        <v>0.99999999999999922</v>
      </c>
      <c r="K610" s="213">
        <v>36</v>
      </c>
      <c r="L610" s="198">
        <f t="shared" si="125"/>
        <v>2.7777777777777755E-2</v>
      </c>
      <c r="M610" s="194">
        <v>11150000</v>
      </c>
      <c r="N610" s="199">
        <f t="shared" si="127"/>
        <v>309722.22222222225</v>
      </c>
      <c r="O610" s="200">
        <f t="shared" ref="O610:O612" si="133">SUM(H610*I610)</f>
        <v>278750</v>
      </c>
      <c r="P610" s="200">
        <v>10000</v>
      </c>
      <c r="Q610" s="200">
        <f t="shared" si="132"/>
        <v>598472.22222222225</v>
      </c>
      <c r="R610" s="201"/>
      <c r="S610" s="201"/>
      <c r="T610" s="201"/>
      <c r="U610" s="200">
        <f t="shared" si="124"/>
        <v>0</v>
      </c>
      <c r="V610" s="202">
        <v>309722.22222222202</v>
      </c>
      <c r="W610" s="203">
        <v>278750</v>
      </c>
      <c r="X610" s="203">
        <v>10000</v>
      </c>
      <c r="Y610" s="309">
        <f t="shared" si="131"/>
        <v>598472.22222222202</v>
      </c>
      <c r="Z610" s="207">
        <f t="shared" ref="Z610:Z642" si="134">SUM(M610-V610)</f>
        <v>10840277.777777778</v>
      </c>
      <c r="AA610" s="53"/>
      <c r="AB610" s="96" t="e">
        <f>#REF!-#REF!</f>
        <v>#REF!</v>
      </c>
    </row>
    <row r="611" spans="2:28" s="55" customFormat="1" x14ac:dyDescent="0.3">
      <c r="B611" s="191">
        <f t="shared" si="130"/>
        <v>486</v>
      </c>
      <c r="C611" s="205" t="s">
        <v>1067</v>
      </c>
      <c r="D611" s="192"/>
      <c r="E611" s="208">
        <v>45986</v>
      </c>
      <c r="F611" s="192" t="s">
        <v>1068</v>
      </c>
      <c r="G611" s="209" t="s">
        <v>1047</v>
      </c>
      <c r="H611" s="194">
        <v>13500000</v>
      </c>
      <c r="I611" s="195">
        <v>2.5000000000000001E-2</v>
      </c>
      <c r="J611" s="206">
        <f t="shared" si="128"/>
        <v>1</v>
      </c>
      <c r="K611" s="213">
        <v>24</v>
      </c>
      <c r="L611" s="198">
        <f t="shared" si="125"/>
        <v>4.1666666666666664E-2</v>
      </c>
      <c r="M611" s="194">
        <v>13500000</v>
      </c>
      <c r="N611" s="199">
        <f t="shared" ref="N611:N612" si="135">SUM(H611/K611)</f>
        <v>562500</v>
      </c>
      <c r="O611" s="200">
        <f t="shared" si="133"/>
        <v>337500</v>
      </c>
      <c r="P611" s="200">
        <v>10000</v>
      </c>
      <c r="Q611" s="200">
        <f t="shared" si="132"/>
        <v>910000</v>
      </c>
      <c r="R611" s="201"/>
      <c r="S611" s="201"/>
      <c r="T611" s="201"/>
      <c r="U611" s="200">
        <f t="shared" si="124"/>
        <v>0</v>
      </c>
      <c r="V611" s="202">
        <v>562500</v>
      </c>
      <c r="W611" s="203">
        <v>337500</v>
      </c>
      <c r="X611" s="203">
        <v>10000</v>
      </c>
      <c r="Y611" s="309">
        <f t="shared" si="131"/>
        <v>910000</v>
      </c>
      <c r="Z611" s="207">
        <f t="shared" si="134"/>
        <v>12937500</v>
      </c>
      <c r="AA611" s="53"/>
      <c r="AB611" s="96" t="e">
        <f>#REF!-#REF!</f>
        <v>#REF!</v>
      </c>
    </row>
    <row r="612" spans="2:28" s="55" customFormat="1" x14ac:dyDescent="0.3">
      <c r="B612" s="191">
        <f t="shared" si="130"/>
        <v>487</v>
      </c>
      <c r="C612" s="205" t="s">
        <v>1069</v>
      </c>
      <c r="D612" s="192"/>
      <c r="E612" s="208">
        <v>45989</v>
      </c>
      <c r="F612" s="192" t="s">
        <v>1070</v>
      </c>
      <c r="G612" s="209" t="s">
        <v>298</v>
      </c>
      <c r="H612" s="194">
        <v>10540000</v>
      </c>
      <c r="I612" s="195">
        <v>2.5000000000000001E-2</v>
      </c>
      <c r="J612" s="206">
        <f t="shared" si="128"/>
        <v>1.0000000000000009</v>
      </c>
      <c r="K612" s="213">
        <v>36</v>
      </c>
      <c r="L612" s="198">
        <f t="shared" si="125"/>
        <v>2.7777777777777804E-2</v>
      </c>
      <c r="M612" s="194">
        <v>10540000</v>
      </c>
      <c r="N612" s="199">
        <f t="shared" si="135"/>
        <v>292777.77777777775</v>
      </c>
      <c r="O612" s="200">
        <f t="shared" si="133"/>
        <v>263500</v>
      </c>
      <c r="P612" s="200">
        <v>10000</v>
      </c>
      <c r="Q612" s="200">
        <f t="shared" si="132"/>
        <v>566277.77777777775</v>
      </c>
      <c r="R612" s="201"/>
      <c r="S612" s="201"/>
      <c r="T612" s="201"/>
      <c r="U612" s="200">
        <f t="shared" si="124"/>
        <v>0</v>
      </c>
      <c r="V612" s="202">
        <v>292777.77777777798</v>
      </c>
      <c r="W612" s="203">
        <v>263500</v>
      </c>
      <c r="X612" s="203">
        <v>10000</v>
      </c>
      <c r="Y612" s="309">
        <f t="shared" si="131"/>
        <v>566277.77777777798</v>
      </c>
      <c r="Z612" s="207">
        <f t="shared" si="134"/>
        <v>10247222.222222222</v>
      </c>
      <c r="AA612" s="53"/>
      <c r="AB612" s="96" t="e">
        <f>#REF!-#REF!</f>
        <v>#REF!</v>
      </c>
    </row>
    <row r="613" spans="2:28" s="326" customFormat="1" ht="8.5500000000000007" customHeight="1" x14ac:dyDescent="0.3">
      <c r="B613" s="310"/>
      <c r="C613" s="311"/>
      <c r="D613" s="311"/>
      <c r="E613" s="312"/>
      <c r="F613" s="311"/>
      <c r="G613" s="313"/>
      <c r="H613" s="314"/>
      <c r="I613" s="315"/>
      <c r="J613" s="316"/>
      <c r="K613" s="317"/>
      <c r="L613" s="318"/>
      <c r="M613" s="314"/>
      <c r="N613" s="319"/>
      <c r="O613" s="320"/>
      <c r="P613" s="320"/>
      <c r="Q613" s="320"/>
      <c r="R613" s="321"/>
      <c r="S613" s="321"/>
      <c r="T613" s="319"/>
      <c r="U613" s="320"/>
      <c r="V613" s="322"/>
      <c r="W613" s="323"/>
      <c r="X613" s="323"/>
      <c r="Y613" s="324"/>
      <c r="Z613" s="325"/>
      <c r="AA613" s="96"/>
      <c r="AB613" s="96"/>
    </row>
    <row r="614" spans="2:28" s="265" customFormat="1" x14ac:dyDescent="0.3">
      <c r="B614" s="250">
        <f>B612+1</f>
        <v>488</v>
      </c>
      <c r="C614" s="270" t="s">
        <v>763</v>
      </c>
      <c r="D614" s="270" t="s">
        <v>1071</v>
      </c>
      <c r="E614" s="252">
        <v>45992</v>
      </c>
      <c r="F614" s="251" t="s">
        <v>1072</v>
      </c>
      <c r="G614" s="253" t="s">
        <v>298</v>
      </c>
      <c r="H614" s="254">
        <v>1445000</v>
      </c>
      <c r="I614" s="255">
        <v>2.5000000000000001E-2</v>
      </c>
      <c r="J614" s="256">
        <f>(H614-Z614)/N614</f>
        <v>0</v>
      </c>
      <c r="K614" s="267">
        <v>36</v>
      </c>
      <c r="L614" s="258">
        <f t="shared" ref="L614:L642" si="136">J614/K614</f>
        <v>0</v>
      </c>
      <c r="M614" s="254">
        <v>1445000</v>
      </c>
      <c r="N614" s="259">
        <f t="shared" ref="N614:N615" si="137">SUM(H614/K614)</f>
        <v>40138.888888888891</v>
      </c>
      <c r="O614" s="260">
        <f t="shared" ref="O614:O642" si="138">SUM(H614*I614)</f>
        <v>36125</v>
      </c>
      <c r="P614" s="260">
        <v>10000</v>
      </c>
      <c r="Q614" s="260">
        <f t="shared" ref="Q614:Q642" si="139">+N614+O614+P614</f>
        <v>86263.888888888891</v>
      </c>
      <c r="R614" s="274"/>
      <c r="S614" s="274"/>
      <c r="T614" s="274"/>
      <c r="U614" s="260">
        <f t="shared" ref="U614:U642" si="140">+R614+S614+T614</f>
        <v>0</v>
      </c>
      <c r="V614" s="261">
        <v>0</v>
      </c>
      <c r="W614" s="262">
        <v>0</v>
      </c>
      <c r="X614" s="262">
        <v>0</v>
      </c>
      <c r="Y614" s="260">
        <f t="shared" ref="Y614:Y642" si="141">+V614+W614+X614</f>
        <v>0</v>
      </c>
      <c r="Z614" s="263">
        <f t="shared" si="134"/>
        <v>1445000</v>
      </c>
      <c r="AA614" s="264" t="s">
        <v>547</v>
      </c>
      <c r="AB614" s="272" t="e">
        <f>#REF!-#REF!</f>
        <v>#REF!</v>
      </c>
    </row>
    <row r="615" spans="2:28" s="55" customFormat="1" x14ac:dyDescent="0.3">
      <c r="B615" s="191">
        <f>B614+1</f>
        <v>489</v>
      </c>
      <c r="C615" s="211" t="s">
        <v>1073</v>
      </c>
      <c r="D615" s="211" t="s">
        <v>1074</v>
      </c>
      <c r="E615" s="208">
        <v>45992</v>
      </c>
      <c r="F615" s="192" t="s">
        <v>1075</v>
      </c>
      <c r="G615" s="209" t="s">
        <v>1076</v>
      </c>
      <c r="H615" s="194">
        <v>5500000</v>
      </c>
      <c r="I615" s="195">
        <v>2.5000000000000001E-2</v>
      </c>
      <c r="J615" s="206">
        <f t="shared" ref="J615:J642" si="142">(H615-Z615)/N615</f>
        <v>0</v>
      </c>
      <c r="K615" s="213">
        <v>36</v>
      </c>
      <c r="L615" s="198">
        <f t="shared" si="136"/>
        <v>0</v>
      </c>
      <c r="M615" s="194">
        <v>5500000</v>
      </c>
      <c r="N615" s="199">
        <f t="shared" si="137"/>
        <v>152777.77777777778</v>
      </c>
      <c r="O615" s="200">
        <f t="shared" si="138"/>
        <v>137500</v>
      </c>
      <c r="P615" s="200">
        <v>10000</v>
      </c>
      <c r="Q615" s="200">
        <f t="shared" si="139"/>
        <v>300277.77777777775</v>
      </c>
      <c r="R615" s="201"/>
      <c r="S615" s="201"/>
      <c r="T615" s="201"/>
      <c r="U615" s="200">
        <f t="shared" si="140"/>
        <v>0</v>
      </c>
      <c r="V615" s="202">
        <v>0</v>
      </c>
      <c r="W615" s="203">
        <v>0</v>
      </c>
      <c r="X615" s="203">
        <v>0</v>
      </c>
      <c r="Y615" s="200">
        <f t="shared" si="141"/>
        <v>0</v>
      </c>
      <c r="Z615" s="207">
        <f t="shared" si="134"/>
        <v>5500000</v>
      </c>
      <c r="AA615" s="53"/>
      <c r="AB615" s="96" t="e">
        <f>#REF!-#REF!</f>
        <v>#REF!</v>
      </c>
    </row>
    <row r="616" spans="2:28" s="55" customFormat="1" x14ac:dyDescent="0.3">
      <c r="B616" s="191">
        <f t="shared" ref="B616:B642" si="143">B615+1</f>
        <v>490</v>
      </c>
      <c r="C616" s="211" t="s">
        <v>1077</v>
      </c>
      <c r="D616" s="211" t="s">
        <v>1078</v>
      </c>
      <c r="E616" s="208">
        <v>45993</v>
      </c>
      <c r="F616" s="192" t="s">
        <v>1079</v>
      </c>
      <c r="G616" s="209" t="s">
        <v>1080</v>
      </c>
      <c r="H616" s="194">
        <v>6000000</v>
      </c>
      <c r="I616" s="195">
        <v>2.5000000000000001E-2</v>
      </c>
      <c r="J616" s="206">
        <f t="shared" si="142"/>
        <v>0</v>
      </c>
      <c r="K616" s="213">
        <v>36</v>
      </c>
      <c r="L616" s="198">
        <f t="shared" si="136"/>
        <v>0</v>
      </c>
      <c r="M616" s="194">
        <v>6000000</v>
      </c>
      <c r="N616" s="199">
        <f t="shared" ref="N616:N641" si="144">SUM(H616/K616)</f>
        <v>166666.66666666666</v>
      </c>
      <c r="O616" s="200">
        <f t="shared" si="138"/>
        <v>150000</v>
      </c>
      <c r="P616" s="200">
        <v>10000</v>
      </c>
      <c r="Q616" s="200">
        <f t="shared" si="139"/>
        <v>326666.66666666663</v>
      </c>
      <c r="R616" s="201"/>
      <c r="S616" s="201"/>
      <c r="T616" s="201"/>
      <c r="U616" s="200">
        <f t="shared" si="140"/>
        <v>0</v>
      </c>
      <c r="V616" s="202">
        <v>0</v>
      </c>
      <c r="W616" s="203">
        <v>0</v>
      </c>
      <c r="X616" s="203">
        <v>0</v>
      </c>
      <c r="Y616" s="200">
        <f t="shared" si="141"/>
        <v>0</v>
      </c>
      <c r="Z616" s="207">
        <f t="shared" si="134"/>
        <v>6000000</v>
      </c>
      <c r="AA616" s="53"/>
      <c r="AB616" s="96" t="e">
        <f>#REF!-#REF!</f>
        <v>#REF!</v>
      </c>
    </row>
    <row r="617" spans="2:28" s="55" customFormat="1" x14ac:dyDescent="0.3">
      <c r="B617" s="191">
        <f t="shared" si="143"/>
        <v>491</v>
      </c>
      <c r="C617" s="211" t="s">
        <v>1081</v>
      </c>
      <c r="D617" s="211" t="s">
        <v>1082</v>
      </c>
      <c r="E617" s="208">
        <v>45993</v>
      </c>
      <c r="F617" s="192" t="s">
        <v>1083</v>
      </c>
      <c r="G617" s="209" t="s">
        <v>298</v>
      </c>
      <c r="H617" s="194">
        <v>4566000</v>
      </c>
      <c r="I617" s="195">
        <v>2.5000000000000001E-2</v>
      </c>
      <c r="J617" s="206">
        <f t="shared" si="142"/>
        <v>0</v>
      </c>
      <c r="K617" s="213">
        <v>36</v>
      </c>
      <c r="L617" s="198">
        <f t="shared" si="136"/>
        <v>0</v>
      </c>
      <c r="M617" s="194">
        <v>4566000</v>
      </c>
      <c r="N617" s="199">
        <f t="shared" si="144"/>
        <v>126833.33333333333</v>
      </c>
      <c r="O617" s="200">
        <f t="shared" si="138"/>
        <v>114150</v>
      </c>
      <c r="P617" s="200">
        <v>10000</v>
      </c>
      <c r="Q617" s="200">
        <f t="shared" si="139"/>
        <v>250983.33333333331</v>
      </c>
      <c r="R617" s="201"/>
      <c r="S617" s="201"/>
      <c r="T617" s="201"/>
      <c r="U617" s="200">
        <f t="shared" si="140"/>
        <v>0</v>
      </c>
      <c r="V617" s="202">
        <v>0</v>
      </c>
      <c r="W617" s="203">
        <v>0</v>
      </c>
      <c r="X617" s="203">
        <v>0</v>
      </c>
      <c r="Y617" s="200">
        <f t="shared" si="141"/>
        <v>0</v>
      </c>
      <c r="Z617" s="207">
        <f t="shared" si="134"/>
        <v>4566000</v>
      </c>
      <c r="AA617" s="53"/>
      <c r="AB617" s="96" t="e">
        <f>#REF!-#REF!</f>
        <v>#REF!</v>
      </c>
    </row>
    <row r="618" spans="2:28" s="55" customFormat="1" x14ac:dyDescent="0.3">
      <c r="B618" s="191">
        <f t="shared" si="143"/>
        <v>492</v>
      </c>
      <c r="C618" s="211" t="s">
        <v>1084</v>
      </c>
      <c r="D618" s="211" t="s">
        <v>1085</v>
      </c>
      <c r="E618" s="208">
        <v>45993</v>
      </c>
      <c r="F618" s="192" t="s">
        <v>1086</v>
      </c>
      <c r="G618" s="209" t="s">
        <v>1087</v>
      </c>
      <c r="H618" s="194">
        <v>9500000</v>
      </c>
      <c r="I618" s="195">
        <v>2.5000000000000001E-2</v>
      </c>
      <c r="J618" s="206">
        <f t="shared" si="142"/>
        <v>0</v>
      </c>
      <c r="K618" s="213">
        <v>36</v>
      </c>
      <c r="L618" s="198">
        <f t="shared" si="136"/>
        <v>0</v>
      </c>
      <c r="M618" s="194">
        <v>9500000</v>
      </c>
      <c r="N618" s="199">
        <f t="shared" si="144"/>
        <v>263888.88888888888</v>
      </c>
      <c r="O618" s="200">
        <f t="shared" si="138"/>
        <v>237500</v>
      </c>
      <c r="P618" s="200">
        <v>10000</v>
      </c>
      <c r="Q618" s="200">
        <f t="shared" si="139"/>
        <v>511388.88888888888</v>
      </c>
      <c r="R618" s="201"/>
      <c r="S618" s="201"/>
      <c r="T618" s="201"/>
      <c r="U618" s="200">
        <f t="shared" si="140"/>
        <v>0</v>
      </c>
      <c r="V618" s="202">
        <v>0</v>
      </c>
      <c r="W618" s="203">
        <v>0</v>
      </c>
      <c r="X618" s="203">
        <v>0</v>
      </c>
      <c r="Y618" s="200">
        <f t="shared" si="141"/>
        <v>0</v>
      </c>
      <c r="Z618" s="207">
        <f t="shared" si="134"/>
        <v>9500000</v>
      </c>
      <c r="AA618" s="53"/>
      <c r="AB618" s="96" t="e">
        <f>#REF!-#REF!</f>
        <v>#REF!</v>
      </c>
    </row>
    <row r="619" spans="2:28" s="55" customFormat="1" x14ac:dyDescent="0.3">
      <c r="B619" s="191">
        <f t="shared" si="143"/>
        <v>493</v>
      </c>
      <c r="C619" s="211" t="s">
        <v>1088</v>
      </c>
      <c r="D619" s="211" t="s">
        <v>1089</v>
      </c>
      <c r="E619" s="208">
        <v>45994</v>
      </c>
      <c r="F619" s="192" t="s">
        <v>1090</v>
      </c>
      <c r="G619" s="209" t="s">
        <v>1091</v>
      </c>
      <c r="H619" s="194">
        <v>10400000</v>
      </c>
      <c r="I619" s="195">
        <v>2.5000000000000001E-2</v>
      </c>
      <c r="J619" s="206">
        <f t="shared" si="142"/>
        <v>0</v>
      </c>
      <c r="K619" s="213">
        <v>36</v>
      </c>
      <c r="L619" s="198">
        <f t="shared" si="136"/>
        <v>0</v>
      </c>
      <c r="M619" s="194">
        <v>10400000</v>
      </c>
      <c r="N619" s="199">
        <f t="shared" si="144"/>
        <v>288888.88888888888</v>
      </c>
      <c r="O619" s="200">
        <f t="shared" si="138"/>
        <v>260000</v>
      </c>
      <c r="P619" s="200">
        <v>10000</v>
      </c>
      <c r="Q619" s="200">
        <f t="shared" si="139"/>
        <v>558888.88888888888</v>
      </c>
      <c r="R619" s="201"/>
      <c r="S619" s="201"/>
      <c r="T619" s="201"/>
      <c r="U619" s="200">
        <f t="shared" si="140"/>
        <v>0</v>
      </c>
      <c r="V619" s="202">
        <v>0</v>
      </c>
      <c r="W619" s="203">
        <v>0</v>
      </c>
      <c r="X619" s="203">
        <v>0</v>
      </c>
      <c r="Y619" s="200">
        <f t="shared" si="141"/>
        <v>0</v>
      </c>
      <c r="Z619" s="207">
        <f t="shared" si="134"/>
        <v>10400000</v>
      </c>
      <c r="AA619" s="53"/>
      <c r="AB619" s="96" t="e">
        <f>#REF!-#REF!</f>
        <v>#REF!</v>
      </c>
    </row>
    <row r="620" spans="2:28" s="55" customFormat="1" x14ac:dyDescent="0.3">
      <c r="B620" s="191">
        <f t="shared" si="143"/>
        <v>494</v>
      </c>
      <c r="C620" s="211" t="s">
        <v>1092</v>
      </c>
      <c r="D620" s="211" t="s">
        <v>1093</v>
      </c>
      <c r="E620" s="208">
        <v>45994</v>
      </c>
      <c r="F620" s="192" t="s">
        <v>1094</v>
      </c>
      <c r="G620" s="209" t="s">
        <v>719</v>
      </c>
      <c r="H620" s="194">
        <v>8684000</v>
      </c>
      <c r="I620" s="195">
        <v>2.5000000000000001E-2</v>
      </c>
      <c r="J620" s="206">
        <f t="shared" si="142"/>
        <v>0</v>
      </c>
      <c r="K620" s="213">
        <v>36</v>
      </c>
      <c r="L620" s="198">
        <f t="shared" si="136"/>
        <v>0</v>
      </c>
      <c r="M620" s="194">
        <v>8684000</v>
      </c>
      <c r="N620" s="199">
        <f t="shared" si="144"/>
        <v>241222.22222222222</v>
      </c>
      <c r="O620" s="200">
        <f t="shared" si="138"/>
        <v>217100</v>
      </c>
      <c r="P620" s="200">
        <v>10000</v>
      </c>
      <c r="Q620" s="200">
        <f t="shared" si="139"/>
        <v>468322.22222222225</v>
      </c>
      <c r="R620" s="201"/>
      <c r="S620" s="201"/>
      <c r="T620" s="201"/>
      <c r="U620" s="200">
        <f t="shared" si="140"/>
        <v>0</v>
      </c>
      <c r="V620" s="202">
        <v>0</v>
      </c>
      <c r="W620" s="203">
        <v>0</v>
      </c>
      <c r="X620" s="203">
        <v>0</v>
      </c>
      <c r="Y620" s="200">
        <f t="shared" si="141"/>
        <v>0</v>
      </c>
      <c r="Z620" s="207">
        <f t="shared" si="134"/>
        <v>8684000</v>
      </c>
      <c r="AA620" s="53"/>
      <c r="AB620" s="96" t="e">
        <f>#REF!-#REF!</f>
        <v>#REF!</v>
      </c>
    </row>
    <row r="621" spans="2:28" s="55" customFormat="1" x14ac:dyDescent="0.3">
      <c r="B621" s="191">
        <f t="shared" si="143"/>
        <v>495</v>
      </c>
      <c r="C621" s="211" t="s">
        <v>1095</v>
      </c>
      <c r="D621" s="211" t="s">
        <v>1096</v>
      </c>
      <c r="E621" s="208">
        <v>45994</v>
      </c>
      <c r="F621" s="192" t="s">
        <v>1097</v>
      </c>
      <c r="G621" s="209" t="s">
        <v>1087</v>
      </c>
      <c r="H621" s="194">
        <v>6300000</v>
      </c>
      <c r="I621" s="195">
        <v>2.5000000000000001E-2</v>
      </c>
      <c r="J621" s="206">
        <f t="shared" si="142"/>
        <v>0</v>
      </c>
      <c r="K621" s="213">
        <v>36</v>
      </c>
      <c r="L621" s="198">
        <f t="shared" si="136"/>
        <v>0</v>
      </c>
      <c r="M621" s="194">
        <v>6300000</v>
      </c>
      <c r="N621" s="199">
        <f t="shared" si="144"/>
        <v>175000</v>
      </c>
      <c r="O621" s="200">
        <f t="shared" si="138"/>
        <v>157500</v>
      </c>
      <c r="P621" s="200">
        <v>10000</v>
      </c>
      <c r="Q621" s="200">
        <f t="shared" si="139"/>
        <v>342500</v>
      </c>
      <c r="R621" s="201"/>
      <c r="S621" s="201"/>
      <c r="T621" s="201"/>
      <c r="U621" s="200">
        <f t="shared" si="140"/>
        <v>0</v>
      </c>
      <c r="V621" s="202">
        <v>0</v>
      </c>
      <c r="W621" s="203">
        <v>0</v>
      </c>
      <c r="X621" s="203">
        <v>0</v>
      </c>
      <c r="Y621" s="200">
        <f t="shared" si="141"/>
        <v>0</v>
      </c>
      <c r="Z621" s="207">
        <f t="shared" si="134"/>
        <v>6300000</v>
      </c>
      <c r="AA621" s="53"/>
      <c r="AB621" s="96" t="e">
        <f>#REF!-#REF!</f>
        <v>#REF!</v>
      </c>
    </row>
    <row r="622" spans="2:28" s="55" customFormat="1" x14ac:dyDescent="0.3">
      <c r="B622" s="191">
        <f t="shared" si="143"/>
        <v>496</v>
      </c>
      <c r="C622" s="211" t="s">
        <v>1098</v>
      </c>
      <c r="D622" s="211" t="s">
        <v>1099</v>
      </c>
      <c r="E622" s="208">
        <v>45994</v>
      </c>
      <c r="F622" s="192" t="s">
        <v>1100</v>
      </c>
      <c r="G622" s="209" t="s">
        <v>1087</v>
      </c>
      <c r="H622" s="194">
        <v>9750000</v>
      </c>
      <c r="I622" s="195">
        <v>2.5000000000000001E-2</v>
      </c>
      <c r="J622" s="206">
        <f t="shared" si="142"/>
        <v>0</v>
      </c>
      <c r="K622" s="213">
        <v>36</v>
      </c>
      <c r="L622" s="198">
        <f t="shared" si="136"/>
        <v>0</v>
      </c>
      <c r="M622" s="194">
        <v>9750000</v>
      </c>
      <c r="N622" s="199">
        <f t="shared" si="144"/>
        <v>270833.33333333331</v>
      </c>
      <c r="O622" s="200">
        <f t="shared" si="138"/>
        <v>243750</v>
      </c>
      <c r="P622" s="200">
        <v>10000</v>
      </c>
      <c r="Q622" s="200">
        <f t="shared" si="139"/>
        <v>524583.33333333326</v>
      </c>
      <c r="R622" s="201"/>
      <c r="S622" s="201"/>
      <c r="T622" s="201"/>
      <c r="U622" s="200">
        <f t="shared" si="140"/>
        <v>0</v>
      </c>
      <c r="V622" s="202">
        <v>0</v>
      </c>
      <c r="W622" s="203">
        <v>0</v>
      </c>
      <c r="X622" s="203">
        <v>0</v>
      </c>
      <c r="Y622" s="200">
        <f t="shared" si="141"/>
        <v>0</v>
      </c>
      <c r="Z622" s="207">
        <f t="shared" si="134"/>
        <v>9750000</v>
      </c>
      <c r="AA622" s="53"/>
      <c r="AB622" s="96" t="e">
        <f>#REF!-#REF!</f>
        <v>#REF!</v>
      </c>
    </row>
    <row r="623" spans="2:28" s="55" customFormat="1" x14ac:dyDescent="0.3">
      <c r="B623" s="191">
        <f t="shared" si="143"/>
        <v>497</v>
      </c>
      <c r="C623" s="211" t="s">
        <v>1101</v>
      </c>
      <c r="D623" s="211" t="s">
        <v>1102</v>
      </c>
      <c r="E623" s="208">
        <v>45995</v>
      </c>
      <c r="F623" s="192" t="s">
        <v>1103</v>
      </c>
      <c r="G623" s="209" t="s">
        <v>1087</v>
      </c>
      <c r="H623" s="194">
        <v>4600000</v>
      </c>
      <c r="I623" s="195">
        <v>2.5000000000000001E-2</v>
      </c>
      <c r="J623" s="206">
        <f t="shared" si="142"/>
        <v>0</v>
      </c>
      <c r="K623" s="213">
        <v>36</v>
      </c>
      <c r="L623" s="198">
        <f t="shared" si="136"/>
        <v>0</v>
      </c>
      <c r="M623" s="194">
        <v>4600000</v>
      </c>
      <c r="N623" s="199">
        <f t="shared" si="144"/>
        <v>127777.77777777778</v>
      </c>
      <c r="O623" s="200">
        <f t="shared" si="138"/>
        <v>115000</v>
      </c>
      <c r="P623" s="200">
        <v>10000</v>
      </c>
      <c r="Q623" s="200">
        <f t="shared" si="139"/>
        <v>252777.77777777778</v>
      </c>
      <c r="R623" s="201"/>
      <c r="S623" s="201"/>
      <c r="T623" s="201"/>
      <c r="U623" s="200">
        <f t="shared" si="140"/>
        <v>0</v>
      </c>
      <c r="V623" s="202">
        <v>0</v>
      </c>
      <c r="W623" s="203">
        <v>0</v>
      </c>
      <c r="X623" s="203">
        <v>0</v>
      </c>
      <c r="Y623" s="200">
        <f t="shared" si="141"/>
        <v>0</v>
      </c>
      <c r="Z623" s="207">
        <f t="shared" si="134"/>
        <v>4600000</v>
      </c>
      <c r="AA623" s="53"/>
      <c r="AB623" s="96" t="e">
        <f>#REF!-#REF!</f>
        <v>#REF!</v>
      </c>
    </row>
    <row r="624" spans="2:28" s="55" customFormat="1" x14ac:dyDescent="0.3">
      <c r="B624" s="191">
        <f t="shared" si="143"/>
        <v>498</v>
      </c>
      <c r="C624" s="211" t="s">
        <v>1104</v>
      </c>
      <c r="D624" s="211" t="s">
        <v>1105</v>
      </c>
      <c r="E624" s="208">
        <v>45995</v>
      </c>
      <c r="F624" s="192" t="s">
        <v>1106</v>
      </c>
      <c r="G624" s="209" t="s">
        <v>1087</v>
      </c>
      <c r="H624" s="194">
        <v>8800000</v>
      </c>
      <c r="I624" s="195">
        <v>2.5000000000000001E-2</v>
      </c>
      <c r="J624" s="206">
        <f t="shared" si="142"/>
        <v>0</v>
      </c>
      <c r="K624" s="213">
        <v>36</v>
      </c>
      <c r="L624" s="198">
        <f t="shared" si="136"/>
        <v>0</v>
      </c>
      <c r="M624" s="194">
        <v>8800000</v>
      </c>
      <c r="N624" s="199">
        <f t="shared" si="144"/>
        <v>244444.44444444444</v>
      </c>
      <c r="O624" s="200">
        <f t="shared" si="138"/>
        <v>220000</v>
      </c>
      <c r="P624" s="200">
        <v>10000</v>
      </c>
      <c r="Q624" s="200">
        <f t="shared" si="139"/>
        <v>474444.44444444444</v>
      </c>
      <c r="R624" s="201"/>
      <c r="S624" s="201"/>
      <c r="T624" s="201"/>
      <c r="U624" s="200">
        <f t="shared" si="140"/>
        <v>0</v>
      </c>
      <c r="V624" s="202">
        <v>0</v>
      </c>
      <c r="W624" s="203">
        <v>0</v>
      </c>
      <c r="X624" s="203">
        <v>0</v>
      </c>
      <c r="Y624" s="200">
        <f t="shared" si="141"/>
        <v>0</v>
      </c>
      <c r="Z624" s="207">
        <f t="shared" si="134"/>
        <v>8800000</v>
      </c>
      <c r="AA624" s="53"/>
      <c r="AB624" s="96" t="e">
        <f>#REF!-#REF!</f>
        <v>#REF!</v>
      </c>
    </row>
    <row r="625" spans="2:28" s="55" customFormat="1" x14ac:dyDescent="0.3">
      <c r="B625" s="191">
        <f t="shared" si="143"/>
        <v>499</v>
      </c>
      <c r="C625" s="211" t="s">
        <v>1107</v>
      </c>
      <c r="D625" s="211" t="s">
        <v>1108</v>
      </c>
      <c r="E625" s="208">
        <v>45996</v>
      </c>
      <c r="F625" s="192" t="s">
        <v>1109</v>
      </c>
      <c r="G625" s="209" t="s">
        <v>1087</v>
      </c>
      <c r="H625" s="194">
        <v>7850000</v>
      </c>
      <c r="I625" s="195">
        <v>2.5000000000000001E-2</v>
      </c>
      <c r="J625" s="206">
        <f t="shared" si="142"/>
        <v>0</v>
      </c>
      <c r="K625" s="213">
        <v>36</v>
      </c>
      <c r="L625" s="198">
        <f t="shared" si="136"/>
        <v>0</v>
      </c>
      <c r="M625" s="194">
        <v>7850000</v>
      </c>
      <c r="N625" s="199">
        <f t="shared" si="144"/>
        <v>218055.55555555556</v>
      </c>
      <c r="O625" s="200">
        <f t="shared" si="138"/>
        <v>196250</v>
      </c>
      <c r="P625" s="200">
        <v>10000</v>
      </c>
      <c r="Q625" s="200">
        <f t="shared" si="139"/>
        <v>424305.55555555556</v>
      </c>
      <c r="R625" s="201"/>
      <c r="S625" s="201"/>
      <c r="T625" s="201"/>
      <c r="U625" s="200">
        <f t="shared" si="140"/>
        <v>0</v>
      </c>
      <c r="V625" s="202">
        <v>0</v>
      </c>
      <c r="W625" s="203">
        <v>0</v>
      </c>
      <c r="X625" s="203">
        <v>0</v>
      </c>
      <c r="Y625" s="200">
        <f t="shared" si="141"/>
        <v>0</v>
      </c>
      <c r="Z625" s="207">
        <f t="shared" si="134"/>
        <v>7850000</v>
      </c>
      <c r="AA625" s="53"/>
      <c r="AB625" s="96" t="e">
        <f>#REF!-#REF!</f>
        <v>#REF!</v>
      </c>
    </row>
    <row r="626" spans="2:28" s="55" customFormat="1" x14ac:dyDescent="0.3">
      <c r="B626" s="191">
        <f t="shared" si="143"/>
        <v>500</v>
      </c>
      <c r="C626" s="211" t="s">
        <v>1110</v>
      </c>
      <c r="D626" s="211" t="s">
        <v>1111</v>
      </c>
      <c r="E626" s="208">
        <v>46000</v>
      </c>
      <c r="F626" s="192" t="s">
        <v>1112</v>
      </c>
      <c r="G626" s="209" t="s">
        <v>1087</v>
      </c>
      <c r="H626" s="194">
        <v>16000000</v>
      </c>
      <c r="I626" s="195">
        <v>2.5000000000000001E-2</v>
      </c>
      <c r="J626" s="206">
        <f t="shared" si="142"/>
        <v>0</v>
      </c>
      <c r="K626" s="213">
        <v>36</v>
      </c>
      <c r="L626" s="198">
        <f t="shared" si="136"/>
        <v>0</v>
      </c>
      <c r="M626" s="194">
        <v>16000000</v>
      </c>
      <c r="N626" s="199">
        <f t="shared" si="144"/>
        <v>444444.44444444444</v>
      </c>
      <c r="O626" s="200">
        <f t="shared" si="138"/>
        <v>400000</v>
      </c>
      <c r="P626" s="200">
        <v>10000</v>
      </c>
      <c r="Q626" s="200">
        <f t="shared" si="139"/>
        <v>854444.4444444445</v>
      </c>
      <c r="R626" s="201"/>
      <c r="S626" s="201"/>
      <c r="T626" s="201"/>
      <c r="U626" s="200">
        <f t="shared" si="140"/>
        <v>0</v>
      </c>
      <c r="V626" s="202">
        <v>0</v>
      </c>
      <c r="W626" s="203">
        <v>0</v>
      </c>
      <c r="X626" s="203">
        <v>0</v>
      </c>
      <c r="Y626" s="200">
        <f t="shared" si="141"/>
        <v>0</v>
      </c>
      <c r="Z626" s="207">
        <f t="shared" si="134"/>
        <v>16000000</v>
      </c>
      <c r="AA626" s="53"/>
      <c r="AB626" s="96" t="e">
        <f>#REF!-#REF!</f>
        <v>#REF!</v>
      </c>
    </row>
    <row r="627" spans="2:28" s="55" customFormat="1" x14ac:dyDescent="0.3">
      <c r="B627" s="191">
        <f t="shared" si="143"/>
        <v>501</v>
      </c>
      <c r="C627" s="211" t="s">
        <v>1113</v>
      </c>
      <c r="D627" s="211" t="s">
        <v>1114</v>
      </c>
      <c r="E627" s="208">
        <v>46001</v>
      </c>
      <c r="F627" s="192" t="s">
        <v>1115</v>
      </c>
      <c r="G627" s="209" t="s">
        <v>1087</v>
      </c>
      <c r="H627" s="194">
        <v>7400000</v>
      </c>
      <c r="I627" s="195">
        <v>2.5000000000000001E-2</v>
      </c>
      <c r="J627" s="206">
        <f t="shared" si="142"/>
        <v>0</v>
      </c>
      <c r="K627" s="213">
        <v>36</v>
      </c>
      <c r="L627" s="198">
        <f t="shared" si="136"/>
        <v>0</v>
      </c>
      <c r="M627" s="194">
        <v>7400000</v>
      </c>
      <c r="N627" s="199">
        <f t="shared" si="144"/>
        <v>205555.55555555556</v>
      </c>
      <c r="O627" s="200">
        <f t="shared" si="138"/>
        <v>185000</v>
      </c>
      <c r="P627" s="200">
        <v>10000</v>
      </c>
      <c r="Q627" s="200">
        <f t="shared" si="139"/>
        <v>400555.55555555556</v>
      </c>
      <c r="R627" s="201"/>
      <c r="S627" s="201"/>
      <c r="T627" s="201"/>
      <c r="U627" s="200">
        <f t="shared" si="140"/>
        <v>0</v>
      </c>
      <c r="V627" s="202">
        <v>0</v>
      </c>
      <c r="W627" s="203">
        <v>0</v>
      </c>
      <c r="X627" s="203">
        <v>0</v>
      </c>
      <c r="Y627" s="200">
        <f t="shared" si="141"/>
        <v>0</v>
      </c>
      <c r="Z627" s="207">
        <f t="shared" si="134"/>
        <v>7400000</v>
      </c>
      <c r="AA627" s="53"/>
      <c r="AB627" s="96" t="e">
        <f>#REF!-#REF!</f>
        <v>#REF!</v>
      </c>
    </row>
    <row r="628" spans="2:28" s="55" customFormat="1" x14ac:dyDescent="0.3">
      <c r="B628" s="191">
        <f t="shared" si="143"/>
        <v>502</v>
      </c>
      <c r="C628" s="211" t="s">
        <v>1116</v>
      </c>
      <c r="D628" s="211" t="s">
        <v>1117</v>
      </c>
      <c r="E628" s="208">
        <v>46001</v>
      </c>
      <c r="F628" s="192" t="s">
        <v>1118</v>
      </c>
      <c r="G628" s="209" t="s">
        <v>1087</v>
      </c>
      <c r="H628" s="194">
        <v>9900000</v>
      </c>
      <c r="I628" s="195">
        <v>2.5000000000000001E-2</v>
      </c>
      <c r="J628" s="206">
        <f t="shared" si="142"/>
        <v>0</v>
      </c>
      <c r="K628" s="213">
        <v>36</v>
      </c>
      <c r="L628" s="198">
        <f t="shared" si="136"/>
        <v>0</v>
      </c>
      <c r="M628" s="194">
        <v>9900000</v>
      </c>
      <c r="N628" s="199">
        <f t="shared" si="144"/>
        <v>275000</v>
      </c>
      <c r="O628" s="200">
        <f t="shared" si="138"/>
        <v>247500</v>
      </c>
      <c r="P628" s="200">
        <v>10000</v>
      </c>
      <c r="Q628" s="200">
        <f t="shared" si="139"/>
        <v>532500</v>
      </c>
      <c r="R628" s="201"/>
      <c r="S628" s="201"/>
      <c r="T628" s="201"/>
      <c r="U628" s="200">
        <f t="shared" si="140"/>
        <v>0</v>
      </c>
      <c r="V628" s="202">
        <v>0</v>
      </c>
      <c r="W628" s="203">
        <v>0</v>
      </c>
      <c r="X628" s="203">
        <v>0</v>
      </c>
      <c r="Y628" s="200">
        <f t="shared" si="141"/>
        <v>0</v>
      </c>
      <c r="Z628" s="207">
        <f t="shared" si="134"/>
        <v>9900000</v>
      </c>
      <c r="AA628" s="53"/>
      <c r="AB628" s="96" t="e">
        <f>#REF!-#REF!</f>
        <v>#REF!</v>
      </c>
    </row>
    <row r="629" spans="2:28" s="150" customFormat="1" x14ac:dyDescent="0.3">
      <c r="B629" s="100">
        <f t="shared" si="143"/>
        <v>503</v>
      </c>
      <c r="C629" s="327" t="s">
        <v>1119</v>
      </c>
      <c r="D629" s="327" t="s">
        <v>1120</v>
      </c>
      <c r="E629" s="113">
        <v>46002</v>
      </c>
      <c r="F629" s="101" t="s">
        <v>382</v>
      </c>
      <c r="G629" s="145" t="s">
        <v>1121</v>
      </c>
      <c r="H629" s="107">
        <v>10388000</v>
      </c>
      <c r="I629" s="118">
        <v>2.5000000000000001E-2</v>
      </c>
      <c r="J629" s="149">
        <f t="shared" si="142"/>
        <v>0</v>
      </c>
      <c r="K629" s="307">
        <v>36</v>
      </c>
      <c r="L629" s="106">
        <f t="shared" si="136"/>
        <v>0</v>
      </c>
      <c r="M629" s="107">
        <v>10388000</v>
      </c>
      <c r="N629" s="108">
        <f t="shared" si="144"/>
        <v>288555.55555555556</v>
      </c>
      <c r="O629" s="109">
        <f t="shared" si="138"/>
        <v>259700</v>
      </c>
      <c r="P629" s="109">
        <v>10000</v>
      </c>
      <c r="Q629" s="109">
        <f t="shared" si="139"/>
        <v>558255.5555555555</v>
      </c>
      <c r="R629" s="146"/>
      <c r="S629" s="146"/>
      <c r="T629" s="146"/>
      <c r="U629" s="109">
        <f t="shared" si="140"/>
        <v>0</v>
      </c>
      <c r="V629" s="110">
        <v>0</v>
      </c>
      <c r="W629" s="111">
        <v>0</v>
      </c>
      <c r="X629" s="111">
        <v>0</v>
      </c>
      <c r="Y629" s="109">
        <f t="shared" si="141"/>
        <v>0</v>
      </c>
      <c r="Z629" s="141">
        <f t="shared" si="134"/>
        <v>10388000</v>
      </c>
      <c r="AA629" s="151"/>
      <c r="AB629" s="96" t="e">
        <f>#REF!-#REF!</f>
        <v>#REF!</v>
      </c>
    </row>
    <row r="630" spans="2:28" s="55" customFormat="1" x14ac:dyDescent="0.3">
      <c r="B630" s="191">
        <f t="shared" si="143"/>
        <v>504</v>
      </c>
      <c r="C630" s="211" t="s">
        <v>1122</v>
      </c>
      <c r="D630" s="211" t="s">
        <v>1123</v>
      </c>
      <c r="E630" s="208">
        <v>46002</v>
      </c>
      <c r="F630" s="192" t="s">
        <v>1124</v>
      </c>
      <c r="G630" s="209" t="s">
        <v>1087</v>
      </c>
      <c r="H630" s="194">
        <v>13500000</v>
      </c>
      <c r="I630" s="195">
        <v>2.5000000000000001E-2</v>
      </c>
      <c r="J630" s="206">
        <f t="shared" si="142"/>
        <v>0</v>
      </c>
      <c r="K630" s="213">
        <v>36</v>
      </c>
      <c r="L630" s="198">
        <f t="shared" si="136"/>
        <v>0</v>
      </c>
      <c r="M630" s="194">
        <v>13500000</v>
      </c>
      <c r="N630" s="199">
        <f t="shared" si="144"/>
        <v>375000</v>
      </c>
      <c r="O630" s="200">
        <f t="shared" si="138"/>
        <v>337500</v>
      </c>
      <c r="P630" s="200">
        <v>10000</v>
      </c>
      <c r="Q630" s="200">
        <f t="shared" si="139"/>
        <v>722500</v>
      </c>
      <c r="R630" s="201"/>
      <c r="S630" s="201"/>
      <c r="T630" s="201"/>
      <c r="U630" s="200">
        <f t="shared" si="140"/>
        <v>0</v>
      </c>
      <c r="V630" s="202">
        <v>0</v>
      </c>
      <c r="W630" s="203">
        <v>0</v>
      </c>
      <c r="X630" s="203">
        <v>0</v>
      </c>
      <c r="Y630" s="200">
        <f t="shared" si="141"/>
        <v>0</v>
      </c>
      <c r="Z630" s="207">
        <f t="shared" si="134"/>
        <v>13500000</v>
      </c>
      <c r="AA630" s="53"/>
      <c r="AB630" s="96" t="e">
        <f>#REF!-#REF!</f>
        <v>#REF!</v>
      </c>
    </row>
    <row r="631" spans="2:28" s="55" customFormat="1" x14ac:dyDescent="0.3">
      <c r="B631" s="191">
        <f t="shared" si="143"/>
        <v>505</v>
      </c>
      <c r="C631" s="211" t="s">
        <v>1125</v>
      </c>
      <c r="D631" s="211" t="s">
        <v>1126</v>
      </c>
      <c r="E631" s="208">
        <v>46003</v>
      </c>
      <c r="F631" s="192" t="s">
        <v>1127</v>
      </c>
      <c r="G631" s="209" t="s">
        <v>1087</v>
      </c>
      <c r="H631" s="194">
        <v>6900000</v>
      </c>
      <c r="I631" s="195">
        <v>2.5000000000000001E-2</v>
      </c>
      <c r="J631" s="206">
        <f t="shared" si="142"/>
        <v>0</v>
      </c>
      <c r="K631" s="213">
        <v>36</v>
      </c>
      <c r="L631" s="198">
        <f t="shared" si="136"/>
        <v>0</v>
      </c>
      <c r="M631" s="194">
        <v>6900000</v>
      </c>
      <c r="N631" s="199">
        <f t="shared" si="144"/>
        <v>191666.66666666666</v>
      </c>
      <c r="O631" s="200">
        <f t="shared" si="138"/>
        <v>172500</v>
      </c>
      <c r="P631" s="200">
        <v>10000</v>
      </c>
      <c r="Q631" s="200">
        <f t="shared" si="139"/>
        <v>374166.66666666663</v>
      </c>
      <c r="R631" s="201"/>
      <c r="S631" s="201"/>
      <c r="T631" s="201"/>
      <c r="U631" s="200">
        <f t="shared" si="140"/>
        <v>0</v>
      </c>
      <c r="V631" s="202">
        <v>0</v>
      </c>
      <c r="W631" s="203">
        <v>0</v>
      </c>
      <c r="X631" s="203">
        <v>0</v>
      </c>
      <c r="Y631" s="200">
        <f t="shared" si="141"/>
        <v>0</v>
      </c>
      <c r="Z631" s="207">
        <f t="shared" si="134"/>
        <v>6900000</v>
      </c>
      <c r="AA631" s="53"/>
      <c r="AB631" s="96" t="e">
        <f>#REF!-#REF!</f>
        <v>#REF!</v>
      </c>
    </row>
    <row r="632" spans="2:28" s="55" customFormat="1" x14ac:dyDescent="0.3">
      <c r="B632" s="191">
        <f t="shared" si="143"/>
        <v>506</v>
      </c>
      <c r="C632" s="211" t="s">
        <v>1128</v>
      </c>
      <c r="D632" s="211" t="s">
        <v>1129</v>
      </c>
      <c r="E632" s="208">
        <v>46003</v>
      </c>
      <c r="F632" s="192" t="s">
        <v>1130</v>
      </c>
      <c r="G632" s="209" t="s">
        <v>1087</v>
      </c>
      <c r="H632" s="194">
        <v>8750000</v>
      </c>
      <c r="I632" s="195">
        <v>2.5000000000000001E-2</v>
      </c>
      <c r="J632" s="206">
        <f t="shared" si="142"/>
        <v>0</v>
      </c>
      <c r="K632" s="213">
        <v>36</v>
      </c>
      <c r="L632" s="198">
        <f t="shared" si="136"/>
        <v>0</v>
      </c>
      <c r="M632" s="194">
        <v>8750000</v>
      </c>
      <c r="N632" s="199">
        <f t="shared" si="144"/>
        <v>243055.55555555556</v>
      </c>
      <c r="O632" s="200">
        <f t="shared" si="138"/>
        <v>218750</v>
      </c>
      <c r="P632" s="200">
        <v>10000</v>
      </c>
      <c r="Q632" s="200">
        <f t="shared" si="139"/>
        <v>471805.55555555556</v>
      </c>
      <c r="R632" s="201"/>
      <c r="S632" s="201"/>
      <c r="T632" s="201"/>
      <c r="U632" s="200">
        <f t="shared" si="140"/>
        <v>0</v>
      </c>
      <c r="V632" s="202">
        <v>0</v>
      </c>
      <c r="W632" s="203">
        <v>0</v>
      </c>
      <c r="X632" s="203">
        <v>0</v>
      </c>
      <c r="Y632" s="200">
        <f t="shared" si="141"/>
        <v>0</v>
      </c>
      <c r="Z632" s="207">
        <f t="shared" si="134"/>
        <v>8750000</v>
      </c>
      <c r="AA632" s="53"/>
      <c r="AB632" s="96" t="e">
        <f>#REF!-#REF!</f>
        <v>#REF!</v>
      </c>
    </row>
    <row r="633" spans="2:28" s="55" customFormat="1" x14ac:dyDescent="0.3">
      <c r="B633" s="191">
        <f t="shared" si="143"/>
        <v>507</v>
      </c>
      <c r="C633" s="211" t="s">
        <v>1131</v>
      </c>
      <c r="D633" s="211" t="s">
        <v>1132</v>
      </c>
      <c r="E633" s="208">
        <v>46003</v>
      </c>
      <c r="F633" s="192" t="s">
        <v>1133</v>
      </c>
      <c r="G633" s="209" t="s">
        <v>1054</v>
      </c>
      <c r="H633" s="194">
        <v>2866000</v>
      </c>
      <c r="I633" s="195">
        <v>2.5000000000000001E-2</v>
      </c>
      <c r="J633" s="206">
        <f t="shared" si="142"/>
        <v>0</v>
      </c>
      <c r="K633" s="213">
        <v>36</v>
      </c>
      <c r="L633" s="198">
        <f t="shared" si="136"/>
        <v>0</v>
      </c>
      <c r="M633" s="194">
        <v>2866000</v>
      </c>
      <c r="N633" s="199">
        <f t="shared" si="144"/>
        <v>79611.111111111109</v>
      </c>
      <c r="O633" s="200">
        <f t="shared" si="138"/>
        <v>71650</v>
      </c>
      <c r="P633" s="200">
        <v>10000</v>
      </c>
      <c r="Q633" s="200">
        <f t="shared" si="139"/>
        <v>161261.11111111112</v>
      </c>
      <c r="R633" s="201"/>
      <c r="S633" s="201"/>
      <c r="T633" s="201"/>
      <c r="U633" s="200">
        <f t="shared" si="140"/>
        <v>0</v>
      </c>
      <c r="V633" s="202">
        <v>0</v>
      </c>
      <c r="W633" s="203">
        <v>0</v>
      </c>
      <c r="X633" s="203">
        <v>0</v>
      </c>
      <c r="Y633" s="200">
        <f t="shared" si="141"/>
        <v>0</v>
      </c>
      <c r="Z633" s="207">
        <f t="shared" si="134"/>
        <v>2866000</v>
      </c>
      <c r="AA633" s="53"/>
      <c r="AB633" s="96" t="e">
        <f>#REF!-#REF!</f>
        <v>#REF!</v>
      </c>
    </row>
    <row r="634" spans="2:28" s="55" customFormat="1" x14ac:dyDescent="0.3">
      <c r="B634" s="191">
        <f t="shared" si="143"/>
        <v>508</v>
      </c>
      <c r="C634" s="211" t="s">
        <v>1134</v>
      </c>
      <c r="D634" s="211" t="s">
        <v>1135</v>
      </c>
      <c r="E634" s="208">
        <v>46003</v>
      </c>
      <c r="F634" s="192" t="s">
        <v>1136</v>
      </c>
      <c r="G634" s="209" t="s">
        <v>1087</v>
      </c>
      <c r="H634" s="194">
        <v>9900000</v>
      </c>
      <c r="I634" s="195">
        <v>2.5000000000000001E-2</v>
      </c>
      <c r="J634" s="206">
        <f t="shared" si="142"/>
        <v>0</v>
      </c>
      <c r="K634" s="213">
        <v>36</v>
      </c>
      <c r="L634" s="198">
        <f t="shared" si="136"/>
        <v>0</v>
      </c>
      <c r="M634" s="194">
        <v>9900000</v>
      </c>
      <c r="N634" s="199">
        <f t="shared" si="144"/>
        <v>275000</v>
      </c>
      <c r="O634" s="200">
        <f t="shared" si="138"/>
        <v>247500</v>
      </c>
      <c r="P634" s="200">
        <v>10000</v>
      </c>
      <c r="Q634" s="200">
        <f t="shared" si="139"/>
        <v>532500</v>
      </c>
      <c r="R634" s="201"/>
      <c r="S634" s="201"/>
      <c r="T634" s="201"/>
      <c r="U634" s="200">
        <f t="shared" si="140"/>
        <v>0</v>
      </c>
      <c r="V634" s="202">
        <v>0</v>
      </c>
      <c r="W634" s="203">
        <v>0</v>
      </c>
      <c r="X634" s="203">
        <v>0</v>
      </c>
      <c r="Y634" s="200">
        <f t="shared" si="141"/>
        <v>0</v>
      </c>
      <c r="Z634" s="207">
        <f t="shared" si="134"/>
        <v>9900000</v>
      </c>
      <c r="AA634" s="53"/>
      <c r="AB634" s="96" t="e">
        <f>#REF!-#REF!</f>
        <v>#REF!</v>
      </c>
    </row>
    <row r="635" spans="2:28" s="55" customFormat="1" x14ac:dyDescent="0.3">
      <c r="B635" s="191">
        <f t="shared" si="143"/>
        <v>509</v>
      </c>
      <c r="C635" s="211" t="s">
        <v>1137</v>
      </c>
      <c r="D635" s="211" t="s">
        <v>1138</v>
      </c>
      <c r="E635" s="208">
        <v>46003</v>
      </c>
      <c r="F635" s="192" t="s">
        <v>1139</v>
      </c>
      <c r="G635" s="209" t="s">
        <v>1087</v>
      </c>
      <c r="H635" s="194">
        <v>11250000</v>
      </c>
      <c r="I635" s="195">
        <v>2.5000000000000001E-2</v>
      </c>
      <c r="J635" s="206">
        <f t="shared" si="142"/>
        <v>0</v>
      </c>
      <c r="K635" s="213">
        <v>36</v>
      </c>
      <c r="L635" s="198">
        <f t="shared" si="136"/>
        <v>0</v>
      </c>
      <c r="M635" s="194">
        <v>11250000</v>
      </c>
      <c r="N635" s="199">
        <f t="shared" si="144"/>
        <v>312500</v>
      </c>
      <c r="O635" s="200">
        <f t="shared" si="138"/>
        <v>281250</v>
      </c>
      <c r="P635" s="200">
        <v>10000</v>
      </c>
      <c r="Q635" s="200">
        <f t="shared" si="139"/>
        <v>603750</v>
      </c>
      <c r="R635" s="201"/>
      <c r="S635" s="201"/>
      <c r="T635" s="201"/>
      <c r="U635" s="200">
        <f t="shared" si="140"/>
        <v>0</v>
      </c>
      <c r="V635" s="202">
        <v>0</v>
      </c>
      <c r="W635" s="203">
        <v>0</v>
      </c>
      <c r="X635" s="203">
        <v>0</v>
      </c>
      <c r="Y635" s="200">
        <f t="shared" si="141"/>
        <v>0</v>
      </c>
      <c r="Z635" s="207">
        <f t="shared" si="134"/>
        <v>11250000</v>
      </c>
      <c r="AA635" s="53"/>
      <c r="AB635" s="96" t="e">
        <f>#REF!-#REF!</f>
        <v>#REF!</v>
      </c>
    </row>
    <row r="636" spans="2:28" s="55" customFormat="1" x14ac:dyDescent="0.3">
      <c r="B636" s="191">
        <f t="shared" si="143"/>
        <v>510</v>
      </c>
      <c r="C636" s="211" t="s">
        <v>1140</v>
      </c>
      <c r="D636" s="211" t="s">
        <v>1141</v>
      </c>
      <c r="E636" s="208">
        <v>46006</v>
      </c>
      <c r="F636" s="192" t="s">
        <v>1142</v>
      </c>
      <c r="G636" s="209" t="s">
        <v>1087</v>
      </c>
      <c r="H636" s="194">
        <v>3200000</v>
      </c>
      <c r="I636" s="195">
        <v>2.5000000000000001E-2</v>
      </c>
      <c r="J636" s="206">
        <f t="shared" si="142"/>
        <v>0</v>
      </c>
      <c r="K636" s="213">
        <v>36</v>
      </c>
      <c r="L636" s="198">
        <f t="shared" si="136"/>
        <v>0</v>
      </c>
      <c r="M636" s="194">
        <v>3200000</v>
      </c>
      <c r="N636" s="199">
        <f t="shared" si="144"/>
        <v>88888.888888888891</v>
      </c>
      <c r="O636" s="200">
        <f t="shared" si="138"/>
        <v>80000</v>
      </c>
      <c r="P636" s="200">
        <v>10000</v>
      </c>
      <c r="Q636" s="200">
        <f t="shared" si="139"/>
        <v>178888.88888888888</v>
      </c>
      <c r="R636" s="201"/>
      <c r="S636" s="201"/>
      <c r="T636" s="201"/>
      <c r="U636" s="200">
        <f t="shared" si="140"/>
        <v>0</v>
      </c>
      <c r="V636" s="202">
        <v>0</v>
      </c>
      <c r="W636" s="203">
        <v>0</v>
      </c>
      <c r="X636" s="203">
        <v>0</v>
      </c>
      <c r="Y636" s="200">
        <f t="shared" si="141"/>
        <v>0</v>
      </c>
      <c r="Z636" s="207">
        <f t="shared" si="134"/>
        <v>3200000</v>
      </c>
      <c r="AA636" s="53"/>
      <c r="AB636" s="96" t="e">
        <f>#REF!-#REF!</f>
        <v>#REF!</v>
      </c>
    </row>
    <row r="637" spans="2:28" s="55" customFormat="1" x14ac:dyDescent="0.3">
      <c r="B637" s="191">
        <f t="shared" si="143"/>
        <v>511</v>
      </c>
      <c r="C637" s="211" t="s">
        <v>1143</v>
      </c>
      <c r="D637" s="211" t="s">
        <v>1144</v>
      </c>
      <c r="E637" s="208">
        <v>46007</v>
      </c>
      <c r="F637" s="192" t="s">
        <v>1145</v>
      </c>
      <c r="G637" s="209" t="s">
        <v>1054</v>
      </c>
      <c r="H637" s="194">
        <v>18500000</v>
      </c>
      <c r="I637" s="195">
        <v>2.5000000000000001E-2</v>
      </c>
      <c r="J637" s="206">
        <f t="shared" si="142"/>
        <v>0</v>
      </c>
      <c r="K637" s="213">
        <v>36</v>
      </c>
      <c r="L637" s="198">
        <f t="shared" si="136"/>
        <v>0</v>
      </c>
      <c r="M637" s="194">
        <v>18500000</v>
      </c>
      <c r="N637" s="199">
        <f t="shared" si="144"/>
        <v>513888.88888888888</v>
      </c>
      <c r="O637" s="200">
        <f t="shared" si="138"/>
        <v>462500</v>
      </c>
      <c r="P637" s="200">
        <v>10000</v>
      </c>
      <c r="Q637" s="200">
        <f t="shared" si="139"/>
        <v>986388.88888888888</v>
      </c>
      <c r="R637" s="201"/>
      <c r="S637" s="201"/>
      <c r="T637" s="201"/>
      <c r="U637" s="200">
        <f t="shared" si="140"/>
        <v>0</v>
      </c>
      <c r="V637" s="202">
        <v>0</v>
      </c>
      <c r="W637" s="203">
        <v>0</v>
      </c>
      <c r="X637" s="203">
        <v>0</v>
      </c>
      <c r="Y637" s="200">
        <f t="shared" si="141"/>
        <v>0</v>
      </c>
      <c r="Z637" s="207">
        <f t="shared" si="134"/>
        <v>18500000</v>
      </c>
      <c r="AA637" s="53"/>
      <c r="AB637" s="96" t="e">
        <f>#REF!-#REF!</f>
        <v>#REF!</v>
      </c>
    </row>
    <row r="638" spans="2:28" s="55" customFormat="1" x14ac:dyDescent="0.3">
      <c r="B638" s="191">
        <f t="shared" si="143"/>
        <v>512</v>
      </c>
      <c r="C638" s="211" t="s">
        <v>1146</v>
      </c>
      <c r="D638" s="211" t="s">
        <v>1147</v>
      </c>
      <c r="E638" s="208">
        <v>46008</v>
      </c>
      <c r="F638" s="192" t="s">
        <v>1148</v>
      </c>
      <c r="G638" s="209" t="s">
        <v>1149</v>
      </c>
      <c r="H638" s="194">
        <v>13013000</v>
      </c>
      <c r="I638" s="195">
        <v>2.5000000000000001E-2</v>
      </c>
      <c r="J638" s="206">
        <f t="shared" si="142"/>
        <v>0</v>
      </c>
      <c r="K638" s="213">
        <v>36</v>
      </c>
      <c r="L638" s="198">
        <f t="shared" si="136"/>
        <v>0</v>
      </c>
      <c r="M638" s="194">
        <v>13013000</v>
      </c>
      <c r="N638" s="199">
        <f t="shared" si="144"/>
        <v>361472.22222222225</v>
      </c>
      <c r="O638" s="200">
        <f t="shared" si="138"/>
        <v>325325</v>
      </c>
      <c r="P638" s="200">
        <v>10000</v>
      </c>
      <c r="Q638" s="200">
        <f t="shared" si="139"/>
        <v>696797.22222222225</v>
      </c>
      <c r="R638" s="201"/>
      <c r="S638" s="201"/>
      <c r="T638" s="201"/>
      <c r="U638" s="200">
        <f t="shared" si="140"/>
        <v>0</v>
      </c>
      <c r="V638" s="202">
        <v>0</v>
      </c>
      <c r="W638" s="203">
        <v>0</v>
      </c>
      <c r="X638" s="203">
        <v>0</v>
      </c>
      <c r="Y638" s="200">
        <f t="shared" si="141"/>
        <v>0</v>
      </c>
      <c r="Z638" s="207">
        <f t="shared" si="134"/>
        <v>13013000</v>
      </c>
      <c r="AA638" s="53"/>
      <c r="AB638" s="96" t="e">
        <f>#REF!-#REF!</f>
        <v>#REF!</v>
      </c>
    </row>
    <row r="639" spans="2:28" s="150" customFormat="1" x14ac:dyDescent="0.3">
      <c r="B639" s="100">
        <f t="shared" si="143"/>
        <v>513</v>
      </c>
      <c r="C639" s="101" t="s">
        <v>1150</v>
      </c>
      <c r="D639" s="101" t="s">
        <v>1151</v>
      </c>
      <c r="E639" s="113">
        <v>46008</v>
      </c>
      <c r="F639" s="101" t="s">
        <v>366</v>
      </c>
      <c r="G639" s="145" t="s">
        <v>1149</v>
      </c>
      <c r="H639" s="107">
        <v>3383000</v>
      </c>
      <c r="I639" s="118">
        <v>2.5000000000000001E-2</v>
      </c>
      <c r="J639" s="149">
        <f t="shared" si="142"/>
        <v>0</v>
      </c>
      <c r="K639" s="307">
        <v>36</v>
      </c>
      <c r="L639" s="106">
        <f t="shared" si="136"/>
        <v>0</v>
      </c>
      <c r="M639" s="107">
        <v>3383000</v>
      </c>
      <c r="N639" s="108">
        <f t="shared" si="144"/>
        <v>93972.222222222219</v>
      </c>
      <c r="O639" s="109">
        <f t="shared" si="138"/>
        <v>84575</v>
      </c>
      <c r="P639" s="109">
        <v>10000</v>
      </c>
      <c r="Q639" s="109">
        <f t="shared" si="139"/>
        <v>188547.22222222222</v>
      </c>
      <c r="R639" s="146"/>
      <c r="S639" s="146"/>
      <c r="T639" s="146"/>
      <c r="U639" s="109">
        <f t="shared" si="140"/>
        <v>0</v>
      </c>
      <c r="V639" s="110">
        <v>0</v>
      </c>
      <c r="W639" s="111">
        <v>0</v>
      </c>
      <c r="X639" s="111">
        <v>0</v>
      </c>
      <c r="Y639" s="109">
        <f t="shared" si="141"/>
        <v>0</v>
      </c>
      <c r="Z639" s="141">
        <f t="shared" si="134"/>
        <v>3383000</v>
      </c>
      <c r="AA639" s="151"/>
      <c r="AB639" s="96" t="e">
        <f>#REF!-#REF!</f>
        <v>#REF!</v>
      </c>
    </row>
    <row r="640" spans="2:28" s="55" customFormat="1" x14ac:dyDescent="0.3">
      <c r="B640" s="191">
        <f t="shared" si="143"/>
        <v>514</v>
      </c>
      <c r="C640" s="205" t="s">
        <v>1152</v>
      </c>
      <c r="D640" s="205" t="s">
        <v>1153</v>
      </c>
      <c r="E640" s="208">
        <v>46009</v>
      </c>
      <c r="F640" s="192" t="s">
        <v>1154</v>
      </c>
      <c r="G640" s="209" t="s">
        <v>1087</v>
      </c>
      <c r="H640" s="194">
        <v>10100000</v>
      </c>
      <c r="I640" s="195">
        <v>2.5000000000000001E-2</v>
      </c>
      <c r="J640" s="206">
        <f t="shared" si="142"/>
        <v>0</v>
      </c>
      <c r="K640" s="213">
        <v>36</v>
      </c>
      <c r="L640" s="198">
        <f t="shared" si="136"/>
        <v>0</v>
      </c>
      <c r="M640" s="194">
        <v>10100000</v>
      </c>
      <c r="N640" s="199">
        <f t="shared" si="144"/>
        <v>280555.55555555556</v>
      </c>
      <c r="O640" s="200">
        <f t="shared" si="138"/>
        <v>252500</v>
      </c>
      <c r="P640" s="200">
        <v>10000</v>
      </c>
      <c r="Q640" s="200">
        <f t="shared" si="139"/>
        <v>543055.5555555555</v>
      </c>
      <c r="R640" s="201"/>
      <c r="S640" s="201"/>
      <c r="T640" s="201"/>
      <c r="U640" s="200">
        <f t="shared" si="140"/>
        <v>0</v>
      </c>
      <c r="V640" s="202">
        <v>0</v>
      </c>
      <c r="W640" s="203">
        <v>0</v>
      </c>
      <c r="X640" s="203">
        <v>0</v>
      </c>
      <c r="Y640" s="200">
        <f t="shared" si="141"/>
        <v>0</v>
      </c>
      <c r="Z640" s="207">
        <f t="shared" si="134"/>
        <v>10100000</v>
      </c>
      <c r="AA640" s="53"/>
      <c r="AB640" s="96" t="e">
        <f>#REF!-#REF!</f>
        <v>#REF!</v>
      </c>
    </row>
    <row r="641" spans="2:28" s="55" customFormat="1" x14ac:dyDescent="0.3">
      <c r="B641" s="191">
        <f t="shared" si="143"/>
        <v>515</v>
      </c>
      <c r="C641" s="205" t="s">
        <v>1155</v>
      </c>
      <c r="D641" s="205" t="s">
        <v>1156</v>
      </c>
      <c r="E641" s="208">
        <v>46009</v>
      </c>
      <c r="F641" s="192" t="s">
        <v>1157</v>
      </c>
      <c r="G641" s="209" t="s">
        <v>1087</v>
      </c>
      <c r="H641" s="194">
        <v>10900000</v>
      </c>
      <c r="I641" s="195">
        <v>2.5000000000000001E-2</v>
      </c>
      <c r="J641" s="206">
        <f t="shared" si="142"/>
        <v>0</v>
      </c>
      <c r="K641" s="213">
        <v>36</v>
      </c>
      <c r="L641" s="198">
        <f t="shared" si="136"/>
        <v>0</v>
      </c>
      <c r="M641" s="194">
        <v>10900000</v>
      </c>
      <c r="N641" s="199">
        <f t="shared" si="144"/>
        <v>302777.77777777775</v>
      </c>
      <c r="O641" s="200">
        <f t="shared" si="138"/>
        <v>272500</v>
      </c>
      <c r="P641" s="200">
        <v>10000</v>
      </c>
      <c r="Q641" s="200">
        <f t="shared" si="139"/>
        <v>585277.77777777775</v>
      </c>
      <c r="R641" s="201"/>
      <c r="S641" s="201"/>
      <c r="T641" s="201"/>
      <c r="U641" s="200">
        <f t="shared" si="140"/>
        <v>0</v>
      </c>
      <c r="V641" s="202">
        <v>0</v>
      </c>
      <c r="W641" s="203">
        <v>0</v>
      </c>
      <c r="X641" s="203">
        <v>0</v>
      </c>
      <c r="Y641" s="200">
        <f t="shared" si="141"/>
        <v>0</v>
      </c>
      <c r="Z641" s="207">
        <f t="shared" si="134"/>
        <v>10900000</v>
      </c>
      <c r="AA641" s="53"/>
      <c r="AB641" s="96" t="e">
        <f>#REF!-#REF!</f>
        <v>#REF!</v>
      </c>
    </row>
    <row r="642" spans="2:28" s="55" customFormat="1" x14ac:dyDescent="0.3">
      <c r="B642" s="191">
        <f t="shared" si="143"/>
        <v>516</v>
      </c>
      <c r="C642" s="205" t="s">
        <v>1158</v>
      </c>
      <c r="D642" s="205" t="s">
        <v>1159</v>
      </c>
      <c r="E642" s="208">
        <v>46010</v>
      </c>
      <c r="F642" s="192" t="s">
        <v>1160</v>
      </c>
      <c r="G642" s="209" t="s">
        <v>1063</v>
      </c>
      <c r="H642" s="194">
        <v>8000000</v>
      </c>
      <c r="I642" s="195">
        <v>2.5000000000000001E-2</v>
      </c>
      <c r="J642" s="206">
        <f t="shared" si="142"/>
        <v>0</v>
      </c>
      <c r="K642" s="213">
        <v>36</v>
      </c>
      <c r="L642" s="198">
        <f t="shared" si="136"/>
        <v>0</v>
      </c>
      <c r="M642" s="194">
        <v>8000000</v>
      </c>
      <c r="N642" s="199">
        <f t="shared" ref="N642" si="145">SUM(H642/K642)</f>
        <v>222222.22222222222</v>
      </c>
      <c r="O642" s="200">
        <f t="shared" si="138"/>
        <v>200000</v>
      </c>
      <c r="P642" s="200">
        <v>10000</v>
      </c>
      <c r="Q642" s="200">
        <f t="shared" si="139"/>
        <v>432222.22222222225</v>
      </c>
      <c r="R642" s="201"/>
      <c r="S642" s="201"/>
      <c r="T642" s="201"/>
      <c r="U642" s="200">
        <f t="shared" si="140"/>
        <v>0</v>
      </c>
      <c r="V642" s="202">
        <v>0</v>
      </c>
      <c r="W642" s="203">
        <v>0</v>
      </c>
      <c r="X642" s="203">
        <v>0</v>
      </c>
      <c r="Y642" s="200">
        <f t="shared" si="141"/>
        <v>0</v>
      </c>
      <c r="Z642" s="207">
        <f t="shared" si="134"/>
        <v>8000000</v>
      </c>
      <c r="AA642" s="53"/>
      <c r="AB642" s="96" t="e">
        <f>#REF!-#REF!</f>
        <v>#REF!</v>
      </c>
    </row>
    <row r="643" spans="2:28" x14ac:dyDescent="0.3">
      <c r="E643" s="333"/>
      <c r="F643" s="328"/>
      <c r="G643" s="328"/>
      <c r="H643" s="328"/>
      <c r="I643" s="330"/>
      <c r="J643" s="329"/>
      <c r="K643" s="331"/>
      <c r="L643" s="332"/>
      <c r="M643" s="328"/>
    </row>
  </sheetData>
  <mergeCells count="20">
    <mergeCell ref="M6:M7"/>
    <mergeCell ref="N6:Q6"/>
    <mergeCell ref="R6:U6"/>
    <mergeCell ref="V6:Y6"/>
    <mergeCell ref="Z6:Z7"/>
    <mergeCell ref="G6:G7"/>
    <mergeCell ref="H6:H7"/>
    <mergeCell ref="I6:I7"/>
    <mergeCell ref="J6:J7"/>
    <mergeCell ref="K6:K7"/>
    <mergeCell ref="L6:L7"/>
    <mergeCell ref="B1:F1"/>
    <mergeCell ref="I1:Q1"/>
    <mergeCell ref="B2:F2"/>
    <mergeCell ref="B3:F3"/>
    <mergeCell ref="B6:B7"/>
    <mergeCell ref="C6:C7"/>
    <mergeCell ref="D6:D7"/>
    <mergeCell ref="E6:E7"/>
    <mergeCell ref="F6:F7"/>
  </mergeCells>
  <conditionalFormatting sqref="A1:A1048576">
    <cfRule type="containsText" dxfId="16" priority="10" stopIfTrue="1" operator="containsText" text="TBC">
      <formula>NOT(ISERROR(SEARCH("TBC",A1)))</formula>
    </cfRule>
  </conditionalFormatting>
  <conditionalFormatting sqref="G1:G69 G71:G580 G643:G1048576">
    <cfRule type="containsText" dxfId="15" priority="34" operator="containsText" text="FRONTING">
      <formula>NOT(ISERROR(SEARCH("FRONTING",G1)))</formula>
    </cfRule>
  </conditionalFormatting>
  <conditionalFormatting sqref="G581:G591">
    <cfRule type="containsText" dxfId="14" priority="35" stopIfTrue="1" operator="containsText" text="FRONTING">
      <formula>NOT(ISERROR(SEARCH("FRONTING",G581)))</formula>
    </cfRule>
  </conditionalFormatting>
  <conditionalFormatting sqref="G592:G642">
    <cfRule type="containsText" dxfId="13" priority="18" operator="containsText" text="FRONTING">
      <formula>NOT(ISERROR(SEARCH("FRONTING",G592)))</formula>
    </cfRule>
  </conditionalFormatting>
  <conditionalFormatting sqref="L6:L1048576">
    <cfRule type="cellIs" dxfId="12" priority="11" stopIfTrue="1" operator="between">
      <formula>0.99</formula>
      <formula>1</formula>
    </cfRule>
  </conditionalFormatting>
  <conditionalFormatting sqref="R2:R3 L2:L3">
    <cfRule type="cellIs" dxfId="11" priority="33" stopIfTrue="1" operator="between">
      <formula>0.99</formula>
      <formula>1</formula>
    </cfRule>
  </conditionalFormatting>
  <conditionalFormatting sqref="R1:Z112 R115:Z123 R128:Z146">
    <cfRule type="containsText" dxfId="10" priority="31" operator="containsText" text="TAGIH TIM COL">
      <formula>NOT(ISERROR(SEARCH("TAGIH TIM COL",R1)))</formula>
    </cfRule>
    <cfRule type="containsText" dxfId="9" priority="32" stopIfTrue="1" operator="containsText" text="RESTRUK">
      <formula>NOT(ISERROR(SEARCH("RESTRUK",R1)))</formula>
    </cfRule>
  </conditionalFormatting>
  <conditionalFormatting sqref="R58:Z59">
    <cfRule type="containsText" dxfId="8" priority="24" operator="containsText" text="TAGIH TIM COL">
      <formula>NOT(ISERROR(SEARCH("TAGIH TIM COL",R58)))</formula>
    </cfRule>
    <cfRule type="containsText" dxfId="7" priority="25" stopIfTrue="1" operator="containsText" text="RESTRUK">
      <formula>NOT(ISERROR(SEARCH("RESTRUK",R58)))</formula>
    </cfRule>
  </conditionalFormatting>
  <conditionalFormatting sqref="R113:Z114">
    <cfRule type="containsText" dxfId="6" priority="8" operator="containsText" text="TAGIH TIM COL">
      <formula>NOT(ISERROR(SEARCH("TAGIH TIM COL",R113)))</formula>
    </cfRule>
    <cfRule type="containsText" dxfId="5" priority="9" stopIfTrue="1" operator="containsText" text="RESTRUK">
      <formula>NOT(ISERROR(SEARCH("RESTRUK",R113)))</formula>
    </cfRule>
  </conditionalFormatting>
  <conditionalFormatting sqref="R114:Z114 R147:Z1048576">
    <cfRule type="containsText" dxfId="4" priority="21" stopIfTrue="1" operator="containsText" text="RESTRUK">
      <formula>NOT(ISERROR(SEARCH("RESTRUK",R114)))</formula>
    </cfRule>
  </conditionalFormatting>
  <conditionalFormatting sqref="R123:Z127">
    <cfRule type="containsText" dxfId="3" priority="22" operator="containsText" text="TAGIH TIM COL">
      <formula>NOT(ISERROR(SEARCH("TAGIH TIM COL",R123)))</formula>
    </cfRule>
    <cfRule type="containsText" dxfId="2" priority="23" stopIfTrue="1" operator="containsText" text="RESTRUK">
      <formula>NOT(ISERROR(SEARCH("RESTRUK",R123)))</formula>
    </cfRule>
  </conditionalFormatting>
  <conditionalFormatting sqref="R114:Z114 R147:Z1048576">
    <cfRule type="containsText" dxfId="1" priority="20" operator="containsText" text="TAGIH TIM COL">
      <formula>NOT(ISERROR(SEARCH("TAGIH TIM COL",R114)))</formula>
    </cfRule>
  </conditionalFormatting>
  <conditionalFormatting sqref="AA1:AA1048576">
    <cfRule type="containsText" dxfId="0" priority="1" operator="containsText" text="POS">
      <formula>NOT(ISERROR(SEARCH("POS",AA1)))</formula>
    </cfRule>
  </conditionalFormatting>
  <pageMargins left="0.7" right="0.7" top="0.75" bottom="0.75" header="0.3" footer="0.3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DES'25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2026-07-08T04:46:10Z</dcterms:created>
  <dcterms:modified xsi:type="dcterms:W3CDTF">2026-07-08T04:50:29Z</dcterms:modified>
</cp:coreProperties>
</file>