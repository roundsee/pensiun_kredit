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E5F74D11-2806-40BB-B6BF-D2A826CBDA3C}" xr6:coauthVersionLast="47" xr6:coauthVersionMax="47" xr10:uidLastSave="{00000000-0000-0000-0000-000000000000}"/>
  <bookViews>
    <workbookView xWindow="-108" yWindow="-108" windowWidth="23256" windowHeight="13176" xr2:uid="{F91C3569-FF2C-48D2-A9C5-69D652EF8F5C}"/>
  </bookViews>
  <sheets>
    <sheet name="DATA NOMINATIF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41" i="1" l="1"/>
  <c r="H40" i="1"/>
  <c r="H39" i="1"/>
  <c r="H38" i="1"/>
  <c r="H37" i="1"/>
  <c r="H36" i="1"/>
  <c r="H35" i="1"/>
  <c r="H34" i="1"/>
  <c r="H33" i="1"/>
  <c r="H31" i="1"/>
  <c r="H32" i="1" s="1"/>
  <c r="H29" i="1"/>
  <c r="H27" i="1"/>
  <c r="H28" i="1" s="1"/>
  <c r="H26" i="1"/>
  <c r="H25" i="1"/>
  <c r="H24" i="1"/>
  <c r="H23" i="1"/>
  <c r="H22" i="1"/>
  <c r="H21" i="1"/>
  <c r="H20" i="1"/>
  <c r="H19" i="1"/>
  <c r="H30" i="1" s="1"/>
  <c r="H18" i="1"/>
  <c r="H17" i="1"/>
  <c r="H16" i="1"/>
  <c r="H15" i="1"/>
  <c r="H14" i="1"/>
  <c r="H13" i="1"/>
  <c r="H12" i="1"/>
  <c r="H11" i="1"/>
  <c r="H10" i="1"/>
</calcChain>
</file>

<file path=xl/sharedStrings.xml><?xml version="1.0" encoding="utf-8"?>
<sst xmlns="http://schemas.openxmlformats.org/spreadsheetml/2006/main" count="42" uniqueCount="41">
  <si>
    <t>KOPERASI NATA BUANA PASUNDAN</t>
  </si>
  <si>
    <t>Business Park No. 16, Margaasih - Kab. Bandung</t>
  </si>
  <si>
    <t>DAFTAR NOMINATIF PENCAIRAN KREDIT</t>
  </si>
  <si>
    <t>KOPERASI NATA BUANA PASUNDAN DENGAN PT BANK KB INDONESIA, Tbk</t>
  </si>
  <si>
    <t>Tanggal 17 Maret 2026</t>
  </si>
  <si>
    <t>DATA DEBITUR</t>
  </si>
  <si>
    <t>NAMA</t>
  </si>
  <si>
    <t xml:space="preserve">NO. KTP </t>
  </si>
  <si>
    <t xml:space="preserve">TANGGAL LAHIR </t>
  </si>
  <si>
    <t>NO. TELP/ HP</t>
  </si>
  <si>
    <t xml:space="preserve">NO. PENSIUN </t>
  </si>
  <si>
    <t>NO. SK/SKEP</t>
  </si>
  <si>
    <t>PENGELOLA PENSIUN (TASPEN/ASABRI)</t>
  </si>
  <si>
    <t>NO. PK</t>
  </si>
  <si>
    <t>TGL AKAD PK</t>
  </si>
  <si>
    <t>PLAFOND</t>
  </si>
  <si>
    <t xml:space="preserve">JANGKA WAKTU </t>
  </si>
  <si>
    <t>PROVISI BANK (0.5%)</t>
  </si>
  <si>
    <t>ADMINISTRASI BANK (0.5%)</t>
  </si>
  <si>
    <t xml:space="preserve">TOTAL BIAYA BANK </t>
  </si>
  <si>
    <t>BIAYA ADMINISTRASI (5%)</t>
  </si>
  <si>
    <t>ASURANSI</t>
  </si>
  <si>
    <t>MATERAI</t>
  </si>
  <si>
    <t>BIAYA FLAGGING</t>
  </si>
  <si>
    <t>TOTAL BIAYA MITRA CHANNELING</t>
  </si>
  <si>
    <t xml:space="preserve">ANGSURAN DIBAYAR DIMUKA </t>
  </si>
  <si>
    <t xml:space="preserve">TOTAL PENERIMAAN NASABAH </t>
  </si>
  <si>
    <t>ANGSURAN PER BULAN BANK (POKOK + BUNGA)</t>
  </si>
  <si>
    <t>BIAYA ADMINISTRASI ANGSURAN ( BAA)</t>
  </si>
  <si>
    <t>TOTAL ANGSURAN PER BULAN (BANK + BAA)</t>
  </si>
  <si>
    <t xml:space="preserve">NOMOR REKENING NASABAH </t>
  </si>
  <si>
    <t xml:space="preserve">KB BANK CABANG </t>
  </si>
  <si>
    <t xml:space="preserve">NAMA AO </t>
  </si>
  <si>
    <t>KODE AO</t>
  </si>
  <si>
    <t>KET</t>
  </si>
  <si>
    <t>KANTOR BAYAR SEBELUMNYA</t>
  </si>
  <si>
    <t xml:space="preserve">DANA TAKE OVER </t>
  </si>
  <si>
    <t xml:space="preserve">BLOKIR DANA </t>
  </si>
  <si>
    <t>HORMAT KAMI,</t>
  </si>
  <si>
    <t>SUTRISNA KP</t>
  </si>
  <si>
    <t>KETUA KOPERASI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</si>
</sst>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21]dd\ mmmm\ yyyy"/>
    <numFmt numFmtId="165" formatCode="_-[$Rp-421]* #,##0_-;\-[$Rp-421]* #,##0_-;_-[$Rp-421]* &quot;-&quot;_-;_-@"/>
  </numFmts>
  <fonts count="8" x14ac:knownFonts="1">
    <font>
      <sz val="10"/>
      <color rgb="FF000000"/>
      <name val="Calibri"/>
      <scheme val="minor"/>
    </font>
    <font>
      <sz val="10"/>
      <color rgb="FF000000"/>
      <name val="Calibri"/>
    </font>
    <font>
      <b/>
      <sz val="12"/>
      <color theme="1"/>
      <name val="Calibri"/>
    </font>
    <font>
      <sz val="11"/>
      <color rgb="FF000000"/>
      <name val="Calibri"/>
    </font>
    <font>
      <sz val="11"/>
      <color theme="1"/>
      <name val="Calibri"/>
    </font>
    <font>
      <b/>
      <sz val="11"/>
      <color theme="1"/>
      <name val="Calibri"/>
    </font>
    <font>
      <sz val="10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0" fillId="0" borderId="0" xfId="0"/>
    <xf numFmtId="0" fontId="3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/>
    <xf numFmtId="0" fontId="5" fillId="0" borderId="0" xfId="0" applyFont="1" applyAlignment="1">
      <alignment horizontal="left"/>
    </xf>
    <xf numFmtId="0" fontId="5" fillId="0" borderId="0" xfId="0" applyFont="1"/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left"/>
    </xf>
    <xf numFmtId="0" fontId="6" fillId="0" borderId="4" xfId="0" applyFont="1" applyBorder="1"/>
    <xf numFmtId="0" fontId="6" fillId="0" borderId="5" xfId="0" applyFont="1" applyBorder="1"/>
    <xf numFmtId="0" fontId="4" fillId="0" borderId="2" xfId="0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5" fontId="4" fillId="0" borderId="2" xfId="0" applyNumberFormat="1" applyFont="1" applyBorder="1" applyAlignment="1">
      <alignment horizontal="center"/>
    </xf>
    <xf numFmtId="165" fontId="4" fillId="0" borderId="2" xfId="0" applyNumberFormat="1" applyFont="1" applyBorder="1" applyAlignment="1">
      <alignment horizontal="center"/>
    </xf>
    <xf numFmtId="165" fontId="5" fillId="0" borderId="2" xfId="0" applyNumberFormat="1" applyFont="1" applyBorder="1" applyAlignment="1">
      <alignment horizontal="right"/>
    </xf>
    <xf numFmtId="0" fontId="4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114300</xdr:colOff>
      <xdr:row>1</xdr:row>
      <xdr:rowOff>38100</xdr:rowOff>
    </xdr:from>
    <xdr:ext cx="552450" cy="476250"/>
    <xdr:pic>
      <xdr:nvPicPr>
        <xdr:cNvPr id="2" name="image1.png">
          <a:extLst>
            <a:ext uri="{FF2B5EF4-FFF2-40B4-BE49-F238E27FC236}">
              <a16:creationId xmlns:a16="http://schemas.microsoft.com/office/drawing/2014/main" id="{0E3492C6-7424-49FC-A9EA-C179A91EBA5F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2940" y="198120"/>
          <a:ext cx="552450" cy="476250"/>
        </a:xfrm>
        <a:prstGeom prst="rect">
          <a:avLst/>
        </a:prstGeom>
        <a:noFill/>
      </xdr:spPr>
    </xdr:pic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,%209,%2013,%20REPAYMENT%20SCHEDU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NKA VERTIKAL"/>
      <sheetName val="DATA NOMINATIF"/>
      <sheetName val="DNKA HORIZONTAL"/>
      <sheetName val="DATA LOS BULK"/>
      <sheetName val="DATA REKENING"/>
      <sheetName val="REPAYMENT SCHEDULE"/>
    </sheetNames>
    <sheetDataSet>
      <sheetData sheetId="0">
        <row r="6">
          <cell r="I6" t="str">
            <v>yuni</v>
          </cell>
        </row>
        <row r="7">
          <cell r="I7" t="str">
            <v>596966</v>
          </cell>
        </row>
        <row r="8">
          <cell r="I8" t="str">
            <v>30-11-2002</v>
          </cell>
        </row>
        <row r="9">
          <cell r="I9" t="str">
            <v>02545</v>
          </cell>
        </row>
        <row r="10">
          <cell r="I10" t="str">
            <v>245625</v>
          </cell>
        </row>
        <row r="11">
          <cell r="I11" t="str">
            <v>25565</v>
          </cell>
        </row>
        <row r="12">
          <cell r="I12" t="str">
            <v>taspen</v>
          </cell>
        </row>
        <row r="13">
          <cell r="I13" t="str">
            <v>jshds</v>
          </cell>
        </row>
        <row r="14">
          <cell r="I14">
            <v>45590</v>
          </cell>
        </row>
        <row r="15">
          <cell r="I15">
            <v>104</v>
          </cell>
        </row>
        <row r="16">
          <cell r="I16">
            <v>100000000</v>
          </cell>
        </row>
        <row r="17">
          <cell r="I17">
            <v>500000</v>
          </cell>
        </row>
        <row r="18">
          <cell r="I18">
            <v>500000</v>
          </cell>
        </row>
        <row r="21">
          <cell r="I21">
            <v>816000</v>
          </cell>
        </row>
        <row r="22">
          <cell r="I22">
            <v>5000000</v>
          </cell>
        </row>
        <row r="23">
          <cell r="I23">
            <v>80000</v>
          </cell>
        </row>
        <row r="27">
          <cell r="I27">
            <v>1441410.6488779453</v>
          </cell>
        </row>
        <row r="29">
          <cell r="I29">
            <v>1500000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B4EAB-699D-4EFB-B4B9-5D2F6C54DB30}">
  <dimension ref="A1:Z1000"/>
  <sheetViews>
    <sheetView tabSelected="1" topLeftCell="A2" workbookViewId="0"/>
  </sheetViews>
  <sheetFormatPr defaultColWidth="12.6640625" defaultRowHeight="15.75" customHeight="1" x14ac:dyDescent="0.3"/>
  <cols>
    <col min="1" max="1" width="8" customWidth="1"/>
    <col min="2" max="2" width="6" customWidth="1"/>
    <col min="3" max="7" width="8" customWidth="1"/>
    <col min="8" max="8" width="24.88671875" customWidth="1"/>
    <col min="9" max="26" width="7.6640625" customWidth="1"/>
  </cols>
  <sheetData>
    <row r="1" spans="1:26" ht="12.7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2.75" customHeight="1" x14ac:dyDescent="0.3">
      <c r="A2" s="1"/>
      <c r="B2" s="2" t="s">
        <v>0</v>
      </c>
      <c r="C2" s="3"/>
      <c r="D2" s="3"/>
      <c r="E2" s="3"/>
      <c r="F2" s="3"/>
      <c r="G2" s="3"/>
      <c r="H2" s="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" customHeight="1" x14ac:dyDescent="0.3">
      <c r="A3" s="1"/>
      <c r="B3" s="4" t="s">
        <v>1</v>
      </c>
      <c r="C3" s="3"/>
      <c r="D3" s="3"/>
      <c r="E3" s="3"/>
      <c r="F3" s="3"/>
      <c r="G3" s="3"/>
      <c r="H3" s="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3">
      <c r="A4" s="1"/>
      <c r="B4" s="5"/>
      <c r="C4" s="1"/>
      <c r="D4" s="1"/>
      <c r="E4" s="1"/>
      <c r="F4" s="1"/>
      <c r="G4" s="1"/>
      <c r="H4" s="6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3">
      <c r="A5" s="1"/>
      <c r="B5" s="7" t="s">
        <v>2</v>
      </c>
      <c r="C5" s="3"/>
      <c r="D5" s="3"/>
      <c r="E5" s="3"/>
      <c r="F5" s="3"/>
      <c r="G5" s="3"/>
      <c r="H5" s="3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x14ac:dyDescent="0.3">
      <c r="A6" s="1"/>
      <c r="B6" s="7" t="s">
        <v>3</v>
      </c>
      <c r="C6" s="3"/>
      <c r="D6" s="3"/>
      <c r="E6" s="3"/>
      <c r="F6" s="3"/>
      <c r="G6" s="3"/>
      <c r="H6" s="3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 x14ac:dyDescent="0.3">
      <c r="A7" s="1"/>
      <c r="B7" s="8" t="s">
        <v>4</v>
      </c>
      <c r="C7" s="3"/>
      <c r="D7" s="3"/>
      <c r="E7" s="3"/>
      <c r="F7" s="3"/>
      <c r="G7" s="3"/>
      <c r="H7" s="3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3">
      <c r="A8" s="1"/>
      <c r="B8" s="9"/>
      <c r="C8" s="9"/>
      <c r="D8" s="9"/>
      <c r="E8" s="9"/>
      <c r="F8" s="9"/>
      <c r="G8" s="9"/>
      <c r="H8" s="9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2.75" customHeight="1" x14ac:dyDescent="0.3">
      <c r="A9" s="1"/>
      <c r="B9" s="10" t="s">
        <v>5</v>
      </c>
      <c r="C9" s="11"/>
      <c r="D9" s="1"/>
      <c r="E9" s="1"/>
      <c r="F9" s="12"/>
      <c r="G9" s="13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3">
      <c r="A10" s="1"/>
      <c r="B10" s="14">
        <v>1</v>
      </c>
      <c r="C10" s="15" t="s">
        <v>6</v>
      </c>
      <c r="D10" s="16"/>
      <c r="E10" s="16"/>
      <c r="F10" s="16"/>
      <c r="G10" s="17"/>
      <c r="H10" s="18" t="str">
        <f>+'[1]DNKA VERTIKAL'!I6</f>
        <v>yuni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2.75" customHeight="1" x14ac:dyDescent="0.3">
      <c r="A11" s="1"/>
      <c r="B11" s="14">
        <v>2</v>
      </c>
      <c r="C11" s="15" t="s">
        <v>7</v>
      </c>
      <c r="D11" s="16"/>
      <c r="E11" s="16"/>
      <c r="F11" s="16"/>
      <c r="G11" s="17"/>
      <c r="H11" s="18" t="str">
        <f>+'[1]DNKA VERTIKAL'!I7</f>
        <v>596966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 x14ac:dyDescent="0.3">
      <c r="A12" s="1"/>
      <c r="B12" s="14">
        <v>3</v>
      </c>
      <c r="C12" s="15" t="s">
        <v>8</v>
      </c>
      <c r="D12" s="16"/>
      <c r="E12" s="16"/>
      <c r="F12" s="16"/>
      <c r="G12" s="17"/>
      <c r="H12" s="19" t="str">
        <f>+'[1]DNKA VERTIKAL'!I8</f>
        <v>30-11-2002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 x14ac:dyDescent="0.3">
      <c r="A13" s="1"/>
      <c r="B13" s="14">
        <v>4</v>
      </c>
      <c r="C13" s="15" t="s">
        <v>9</v>
      </c>
      <c r="D13" s="16"/>
      <c r="E13" s="16"/>
      <c r="F13" s="16"/>
      <c r="G13" s="17"/>
      <c r="H13" s="18" t="str">
        <f>+'[1]DNKA VERTIKAL'!I9</f>
        <v>02545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 x14ac:dyDescent="0.3">
      <c r="A14" s="1"/>
      <c r="B14" s="14">
        <v>5</v>
      </c>
      <c r="C14" s="15" t="s">
        <v>10</v>
      </c>
      <c r="D14" s="16"/>
      <c r="E14" s="16"/>
      <c r="F14" s="16"/>
      <c r="G14" s="17"/>
      <c r="H14" s="18" t="str">
        <f>+'[1]DNKA VERTIKAL'!I10</f>
        <v>245625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3">
      <c r="A15" s="1"/>
      <c r="B15" s="14">
        <v>6</v>
      </c>
      <c r="C15" s="15" t="s">
        <v>11</v>
      </c>
      <c r="D15" s="16"/>
      <c r="E15" s="16"/>
      <c r="F15" s="16"/>
      <c r="G15" s="17"/>
      <c r="H15" s="18" t="str">
        <f>+'[1]DNKA VERTIKAL'!I11</f>
        <v>25565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.75" customHeight="1" x14ac:dyDescent="0.3">
      <c r="A16" s="1"/>
      <c r="B16" s="14">
        <v>7</v>
      </c>
      <c r="C16" s="15" t="s">
        <v>12</v>
      </c>
      <c r="D16" s="16"/>
      <c r="E16" s="16"/>
      <c r="F16" s="16"/>
      <c r="G16" s="17"/>
      <c r="H16" s="18" t="str">
        <f>+'[1]DNKA VERTIKAL'!I12</f>
        <v>taspen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3">
      <c r="A17" s="1"/>
      <c r="B17" s="14">
        <v>8</v>
      </c>
      <c r="C17" s="15" t="s">
        <v>13</v>
      </c>
      <c r="D17" s="16"/>
      <c r="E17" s="16"/>
      <c r="F17" s="16"/>
      <c r="G17" s="17"/>
      <c r="H17" s="18" t="str">
        <f>+'[1]DNKA VERTIKAL'!I13</f>
        <v>jshds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3">
      <c r="A18" s="1"/>
      <c r="B18" s="14">
        <v>9</v>
      </c>
      <c r="C18" s="15" t="s">
        <v>14</v>
      </c>
      <c r="D18" s="16"/>
      <c r="E18" s="16"/>
      <c r="F18" s="16"/>
      <c r="G18" s="17"/>
      <c r="H18" s="20">
        <f>+'[1]DNKA VERTIKAL'!I14</f>
        <v>45590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3">
      <c r="A19" s="1"/>
      <c r="B19" s="14">
        <v>10</v>
      </c>
      <c r="C19" s="15" t="s">
        <v>15</v>
      </c>
      <c r="D19" s="16"/>
      <c r="E19" s="16"/>
      <c r="F19" s="16"/>
      <c r="G19" s="17"/>
      <c r="H19" s="21">
        <f>+'[1]DNKA VERTIKAL'!I16</f>
        <v>100000000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3">
      <c r="A20" s="1"/>
      <c r="B20" s="14">
        <v>11</v>
      </c>
      <c r="C20" s="15" t="s">
        <v>16</v>
      </c>
      <c r="D20" s="16"/>
      <c r="E20" s="16"/>
      <c r="F20" s="16"/>
      <c r="G20" s="17"/>
      <c r="H20" s="18">
        <f>+'[1]DNKA VERTIKAL'!I15</f>
        <v>104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3">
      <c r="A21" s="1"/>
      <c r="B21" s="14">
        <v>12</v>
      </c>
      <c r="C21" s="15" t="s">
        <v>17</v>
      </c>
      <c r="D21" s="16"/>
      <c r="E21" s="16"/>
      <c r="F21" s="16"/>
      <c r="G21" s="17"/>
      <c r="H21" s="21">
        <f>+'[1]DNKA VERTIKAL'!I17</f>
        <v>500000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3">
      <c r="A22" s="1"/>
      <c r="B22" s="14">
        <v>13</v>
      </c>
      <c r="C22" s="15" t="s">
        <v>18</v>
      </c>
      <c r="D22" s="16"/>
      <c r="E22" s="16"/>
      <c r="F22" s="16"/>
      <c r="G22" s="17"/>
      <c r="H22" s="21">
        <f>+'[1]DNKA VERTIKAL'!I18</f>
        <v>500000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3">
      <c r="A23" s="1"/>
      <c r="B23" s="14">
        <v>14</v>
      </c>
      <c r="C23" s="15" t="s">
        <v>19</v>
      </c>
      <c r="D23" s="16"/>
      <c r="E23" s="16"/>
      <c r="F23" s="16"/>
      <c r="G23" s="17"/>
      <c r="H23" s="21">
        <f>SUM(H21:H22)</f>
        <v>1000000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3">
      <c r="A24" s="1"/>
      <c r="B24" s="14">
        <v>15</v>
      </c>
      <c r="C24" s="15" t="s">
        <v>20</v>
      </c>
      <c r="D24" s="16"/>
      <c r="E24" s="16"/>
      <c r="F24" s="16"/>
      <c r="G24" s="17"/>
      <c r="H24" s="21">
        <f>+'[1]DNKA VERTIKAL'!I22</f>
        <v>5000000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3">
      <c r="A25" s="1"/>
      <c r="B25" s="14">
        <v>16</v>
      </c>
      <c r="C25" s="15" t="s">
        <v>21</v>
      </c>
      <c r="D25" s="16"/>
      <c r="E25" s="16"/>
      <c r="F25" s="16"/>
      <c r="G25" s="17"/>
      <c r="H25" s="21">
        <f>+'[1]DNKA VERTIKAL'!I20</f>
        <v>0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3">
      <c r="A26" s="1"/>
      <c r="B26" s="14">
        <v>17</v>
      </c>
      <c r="C26" s="15" t="s">
        <v>22</v>
      </c>
      <c r="D26" s="16"/>
      <c r="E26" s="16"/>
      <c r="F26" s="16"/>
      <c r="G26" s="17"/>
      <c r="H26" s="21">
        <f>+'[1]DNKA VERTIKAL'!I23</f>
        <v>80000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3">
      <c r="A27" s="1"/>
      <c r="B27" s="14">
        <v>18</v>
      </c>
      <c r="C27" s="15" t="s">
        <v>23</v>
      </c>
      <c r="D27" s="16"/>
      <c r="E27" s="16"/>
      <c r="F27" s="16"/>
      <c r="G27" s="17"/>
      <c r="H27" s="21">
        <f>+'[1]DNKA VERTIKAL'!I21</f>
        <v>816000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3">
      <c r="A28" s="1"/>
      <c r="B28" s="14">
        <v>19</v>
      </c>
      <c r="C28" s="15" t="s">
        <v>24</v>
      </c>
      <c r="D28" s="16"/>
      <c r="E28" s="16"/>
      <c r="F28" s="16"/>
      <c r="G28" s="17"/>
      <c r="H28" s="21">
        <f>SUM(H24:H27)</f>
        <v>5896000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3">
      <c r="A29" s="1"/>
      <c r="B29" s="14">
        <v>20</v>
      </c>
      <c r="C29" s="15" t="s">
        <v>25</v>
      </c>
      <c r="D29" s="16"/>
      <c r="E29" s="16"/>
      <c r="F29" s="16"/>
      <c r="G29" s="17"/>
      <c r="H29" s="21">
        <f>+'[1]DNKA VERTIKAL'!I25</f>
        <v>0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3">
      <c r="A30" s="1"/>
      <c r="B30" s="14">
        <v>21</v>
      </c>
      <c r="C30" s="15" t="s">
        <v>26</v>
      </c>
      <c r="D30" s="16"/>
      <c r="E30" s="16"/>
      <c r="F30" s="16"/>
      <c r="G30" s="17"/>
      <c r="H30" s="21">
        <f>H19-H23-H28-H29</f>
        <v>93104000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3">
      <c r="A31" s="1"/>
      <c r="B31" s="14">
        <v>22</v>
      </c>
      <c r="C31" s="15" t="s">
        <v>27</v>
      </c>
      <c r="D31" s="16"/>
      <c r="E31" s="16"/>
      <c r="F31" s="16"/>
      <c r="G31" s="17"/>
      <c r="H31" s="21">
        <f>+'[1]DNKA VERTIKAL'!I27</f>
        <v>1441410.6488779453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3">
      <c r="A32" s="1"/>
      <c r="B32" s="14">
        <v>23</v>
      </c>
      <c r="C32" s="15" t="s">
        <v>28</v>
      </c>
      <c r="D32" s="16"/>
      <c r="E32" s="16"/>
      <c r="F32" s="16"/>
      <c r="G32" s="17"/>
      <c r="H32" s="21">
        <f>H33-H31</f>
        <v>58589.351122054737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3">
      <c r="A33" s="1"/>
      <c r="B33" s="14">
        <v>24</v>
      </c>
      <c r="C33" s="15" t="s">
        <v>29</v>
      </c>
      <c r="D33" s="16"/>
      <c r="E33" s="16"/>
      <c r="F33" s="16"/>
      <c r="G33" s="17"/>
      <c r="H33" s="21">
        <f>+'[1]DNKA VERTIKAL'!I29</f>
        <v>1500000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3">
      <c r="A34" s="1"/>
      <c r="B34" s="14">
        <v>25</v>
      </c>
      <c r="C34" s="15" t="s">
        <v>30</v>
      </c>
      <c r="D34" s="16"/>
      <c r="E34" s="16"/>
      <c r="F34" s="16"/>
      <c r="G34" s="17"/>
      <c r="H34" s="18">
        <f>+'[1]DNKA VERTIKAL'!I30</f>
        <v>0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3">
      <c r="A35" s="1"/>
      <c r="B35" s="14">
        <v>26</v>
      </c>
      <c r="C35" s="15" t="s">
        <v>31</v>
      </c>
      <c r="D35" s="16"/>
      <c r="E35" s="16"/>
      <c r="F35" s="16"/>
      <c r="G35" s="17"/>
      <c r="H35" s="21">
        <f>+'[1]DNKA VERTIKAL'!I31</f>
        <v>0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3">
      <c r="A36" s="1"/>
      <c r="B36" s="14">
        <v>27</v>
      </c>
      <c r="C36" s="15" t="s">
        <v>32</v>
      </c>
      <c r="D36" s="16"/>
      <c r="E36" s="16"/>
      <c r="F36" s="16"/>
      <c r="G36" s="17"/>
      <c r="H36" s="21">
        <f>+'[1]DNKA VERTIKAL'!I32</f>
        <v>0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3">
      <c r="A37" s="1"/>
      <c r="B37" s="14">
        <v>28</v>
      </c>
      <c r="C37" s="15" t="s">
        <v>33</v>
      </c>
      <c r="D37" s="16"/>
      <c r="E37" s="16"/>
      <c r="F37" s="16"/>
      <c r="G37" s="17"/>
      <c r="H37" s="18">
        <f>+'[1]DNKA VERTIKAL'!I33</f>
        <v>0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3">
      <c r="A38" s="1"/>
      <c r="B38" s="14">
        <v>29</v>
      </c>
      <c r="C38" s="15" t="s">
        <v>34</v>
      </c>
      <c r="D38" s="16"/>
      <c r="E38" s="16"/>
      <c r="F38" s="16"/>
      <c r="G38" s="17"/>
      <c r="H38" s="21">
        <f>+'[1]DNKA VERTIKAL'!I34</f>
        <v>0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3">
      <c r="A39" s="1"/>
      <c r="B39" s="14">
        <v>30</v>
      </c>
      <c r="C39" s="15" t="s">
        <v>35</v>
      </c>
      <c r="D39" s="16"/>
      <c r="E39" s="16"/>
      <c r="F39" s="16"/>
      <c r="G39" s="17"/>
      <c r="H39" s="21">
        <f>+'[1]DNKA VERTIKAL'!I35</f>
        <v>0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3">
      <c r="A40" s="1"/>
      <c r="B40" s="14">
        <v>31</v>
      </c>
      <c r="C40" s="15" t="s">
        <v>36</v>
      </c>
      <c r="D40" s="16"/>
      <c r="E40" s="16"/>
      <c r="F40" s="16"/>
      <c r="G40" s="17"/>
      <c r="H40" s="21">
        <f>+'[1]DNKA VERTIKAL'!I36</f>
        <v>0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75" customHeight="1" x14ac:dyDescent="0.3">
      <c r="A41" s="1"/>
      <c r="B41" s="14">
        <v>32</v>
      </c>
      <c r="C41" s="15" t="s">
        <v>37</v>
      </c>
      <c r="D41" s="16"/>
      <c r="E41" s="16"/>
      <c r="F41" s="16"/>
      <c r="G41" s="17"/>
      <c r="H41" s="22">
        <f>+'[1]DNKA VERTIKAL'!I37</f>
        <v>0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3">
      <c r="A44" s="1"/>
      <c r="B44" s="7" t="s">
        <v>38</v>
      </c>
      <c r="C44" s="3"/>
      <c r="D44" s="3"/>
      <c r="E44" s="3"/>
      <c r="F44" s="3"/>
      <c r="G44" s="1"/>
      <c r="H44" s="9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3">
      <c r="A45" s="1"/>
      <c r="B45" s="7" t="s">
        <v>0</v>
      </c>
      <c r="C45" s="3"/>
      <c r="D45" s="3"/>
      <c r="E45" s="3"/>
      <c r="F45" s="3"/>
      <c r="G45" s="1"/>
      <c r="H45" s="23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3">
      <c r="A46" s="1"/>
      <c r="B46" s="13"/>
      <c r="C46" s="13"/>
      <c r="D46" s="13"/>
      <c r="E46" s="13"/>
      <c r="F46" s="1"/>
      <c r="G46" s="1"/>
      <c r="H46" s="24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3">
      <c r="A47" s="1"/>
      <c r="B47" s="13"/>
      <c r="C47" s="13"/>
      <c r="D47" s="13"/>
      <c r="E47" s="13"/>
      <c r="F47" s="1"/>
      <c r="G47" s="1"/>
      <c r="H47" s="6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3">
      <c r="A48" s="1"/>
      <c r="B48" s="13"/>
      <c r="C48" s="13"/>
      <c r="D48" s="13"/>
      <c r="E48" s="13"/>
      <c r="F48" s="1"/>
      <c r="G48" s="1"/>
      <c r="H48" s="6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3">
      <c r="A49" s="1"/>
      <c r="B49" s="13"/>
      <c r="C49" s="13"/>
      <c r="D49" s="13"/>
      <c r="E49" s="13"/>
      <c r="F49" s="1"/>
      <c r="G49" s="1"/>
      <c r="H49" s="6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3">
      <c r="A50" s="1"/>
      <c r="B50" s="7" t="s">
        <v>39</v>
      </c>
      <c r="C50" s="3"/>
      <c r="D50" s="3"/>
      <c r="E50" s="3"/>
      <c r="F50" s="3"/>
      <c r="G50" s="1"/>
      <c r="H50" s="6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3">
      <c r="A51" s="1"/>
      <c r="B51" s="7" t="s">
        <v>40</v>
      </c>
      <c r="C51" s="3"/>
      <c r="D51" s="3"/>
      <c r="E51" s="3"/>
      <c r="F51" s="3"/>
      <c r="G51" s="1"/>
      <c r="H51" s="6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7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7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7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7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7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7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7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7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7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7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7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7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7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7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7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7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7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7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7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7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7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7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7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7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7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7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7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7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7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7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7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7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7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7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7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7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7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7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7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7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7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7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7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7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7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7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7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7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7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7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7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7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7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7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7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7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7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7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7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7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7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7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7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7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7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7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7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7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7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7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7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7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7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7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7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7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7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7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7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7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7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7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7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7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7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7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7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7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7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7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7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7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7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7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7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7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7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7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7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7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7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7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7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7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7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7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7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7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7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7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7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7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7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7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7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7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7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7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7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7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7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7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7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7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7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7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7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7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7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7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7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7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7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7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7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7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7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7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7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7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7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7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7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7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7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7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7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7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7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7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7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7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7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7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7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7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7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7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7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7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7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7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7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7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7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7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7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7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7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7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7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7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7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7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7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7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7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7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7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7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7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7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7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7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7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7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7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7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7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7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7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7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7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7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7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7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7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7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7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7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7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7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7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7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7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7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7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7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7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7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7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7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7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7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7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7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7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7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7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7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7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7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7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7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7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7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7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7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7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7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7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7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7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7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7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7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7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7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7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7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7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7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7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7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7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7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7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7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7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7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7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7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7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7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7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7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7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7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7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7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7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7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7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7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7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7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7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7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7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7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7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7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7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7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7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7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7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7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7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7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7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7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7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7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7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7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7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7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7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7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7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7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7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7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7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7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7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7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7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7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7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7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7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7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7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7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7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7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7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7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7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7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7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7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7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7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7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7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7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7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7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7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7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7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7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7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7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7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7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7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7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7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7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7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7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7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7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7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7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7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7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7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7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7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7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7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7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7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7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7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7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7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7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7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7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7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7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7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7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7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7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7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7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7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7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7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7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7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7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7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7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7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7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7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7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7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7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7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7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7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7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7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7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7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7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7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7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7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7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7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7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7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7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7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7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7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7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7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7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7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7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7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7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7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7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7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7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7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7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7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7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7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7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7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7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7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7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7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7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7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7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7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7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7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7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7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7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7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7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7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7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7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7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7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7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7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7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7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7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7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7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7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7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7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7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7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7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7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7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7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7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7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7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7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7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7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7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7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7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7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7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7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7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7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7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7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7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7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7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7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7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7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7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7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7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7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7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7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7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7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7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7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7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7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7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7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7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7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7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7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7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7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7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7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7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7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7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7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7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7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7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7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7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7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7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7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7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7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7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7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7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7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7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7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7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7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7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7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7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7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7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7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7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7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7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7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7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7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7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7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7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7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7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7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7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7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7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7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7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7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7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7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7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7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7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7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7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7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7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7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7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7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7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7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7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7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7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7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7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7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7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7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7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7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7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7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7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7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7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7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7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7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7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7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7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7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7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7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7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7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7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7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7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7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7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7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7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7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7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7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7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7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7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7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7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7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7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7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7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7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7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7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7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7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7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7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7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7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7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7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7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7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7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7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7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7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7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7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7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7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7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7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7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7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7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7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7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7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7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7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7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7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7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7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7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7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7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7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7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7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7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7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7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7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7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7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7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7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7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7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7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7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7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7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7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7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7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7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7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7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7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7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7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7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7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7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7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7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7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7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7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7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7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7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7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7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7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7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7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7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7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7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7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7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7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7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7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7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7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7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7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7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7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7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7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7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7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7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7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7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7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7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7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7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7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7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7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7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7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7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7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7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7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7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7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7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7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7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7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7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7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7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7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7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7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7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7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7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7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7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7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7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7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7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7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7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7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7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7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7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7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7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7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2">
    <mergeCell ref="C40:G40"/>
    <mergeCell ref="C41:G41"/>
    <mergeCell ref="B44:F44"/>
    <mergeCell ref="B45:F45"/>
    <mergeCell ref="B50:F50"/>
    <mergeCell ref="B51:F51"/>
    <mergeCell ref="C34:G34"/>
    <mergeCell ref="C35:G35"/>
    <mergeCell ref="C36:G36"/>
    <mergeCell ref="C37:G37"/>
    <mergeCell ref="C38:G38"/>
    <mergeCell ref="C39:G39"/>
    <mergeCell ref="C28:G28"/>
    <mergeCell ref="C29:G29"/>
    <mergeCell ref="C30:G30"/>
    <mergeCell ref="C31:G31"/>
    <mergeCell ref="C32:G32"/>
    <mergeCell ref="C33:G33"/>
    <mergeCell ref="C22:G22"/>
    <mergeCell ref="C23:G23"/>
    <mergeCell ref="C24:G24"/>
    <mergeCell ref="C25:G25"/>
    <mergeCell ref="C26:G26"/>
    <mergeCell ref="C27:G27"/>
    <mergeCell ref="C16:G16"/>
    <mergeCell ref="C17:G17"/>
    <mergeCell ref="C18:G18"/>
    <mergeCell ref="C19:G19"/>
    <mergeCell ref="C20:G20"/>
    <mergeCell ref="C21:G21"/>
    <mergeCell ref="C10:G10"/>
    <mergeCell ref="C11:G11"/>
    <mergeCell ref="C12:G12"/>
    <mergeCell ref="C13:G13"/>
    <mergeCell ref="C14:G14"/>
    <mergeCell ref="C15:G15"/>
    <mergeCell ref="B2:H2"/>
    <mergeCell ref="B3:H3"/>
    <mergeCell ref="B5:H5"/>
    <mergeCell ref="B6:H6"/>
    <mergeCell ref="B7:H7"/>
    <mergeCell ref="B9:C9"/>
  </mergeCells>
  <pageMargins left="0.7" right="0.68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NOMINATIF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2026-05-10T13:07:18Z</dcterms:created>
  <dcterms:modified xsi:type="dcterms:W3CDTF">2026-05-10T13:07:57Z</dcterms:modified>
</cp:coreProperties>
</file>