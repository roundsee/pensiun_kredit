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149636B-FFA0-4D8E-8BE2-4AF9B4AAE092}" xr6:coauthVersionLast="47" xr6:coauthVersionMax="47" xr10:uidLastSave="{00000000-0000-0000-0000-000000000000}"/>
  <bookViews>
    <workbookView xWindow="-108" yWindow="-108" windowWidth="23256" windowHeight="13176" xr2:uid="{E887AA9F-C93B-4319-83D5-B882D0F3DFAB}"/>
  </bookViews>
  <sheets>
    <sheet name="DNKA VERTIK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1" l="1"/>
  <c r="I28" i="1" s="1"/>
  <c r="I22" i="1"/>
  <c r="I24" i="1" s="1"/>
  <c r="I18" i="1"/>
  <c r="I17" i="1"/>
  <c r="I19" i="1" s="1"/>
  <c r="I26" i="1" s="1"/>
  <c r="D3" i="1"/>
</calcChain>
</file>

<file path=xl/sharedStrings.xml><?xml version="1.0" encoding="utf-8"?>
<sst xmlns="http://schemas.openxmlformats.org/spreadsheetml/2006/main" count="54" uniqueCount="54">
  <si>
    <t xml:space="preserve">    </t>
  </si>
  <si>
    <t>NAMA MITRA CHANNELING DENGAN PT. BANK KB INDONESIA, Tbk</t>
  </si>
  <si>
    <t>TANGGAL</t>
  </si>
  <si>
    <t>:</t>
  </si>
  <si>
    <t>NO</t>
  </si>
  <si>
    <t>KETERANGAN</t>
  </si>
  <si>
    <t>NAMA</t>
  </si>
  <si>
    <t>yuni</t>
  </si>
  <si>
    <t xml:space="preserve">NO. KTP </t>
  </si>
  <si>
    <t>596966</t>
  </si>
  <si>
    <t xml:space="preserve">TANGGAL LAHIR </t>
  </si>
  <si>
    <t>30-11-2002</t>
  </si>
  <si>
    <t>NO. TELP/ HP</t>
  </si>
  <si>
    <t>02545</t>
  </si>
  <si>
    <t xml:space="preserve">NO. PENSIUN </t>
  </si>
  <si>
    <t>245625</t>
  </si>
  <si>
    <t>NO. SK/SKEP</t>
  </si>
  <si>
    <t>25565</t>
  </si>
  <si>
    <t>PENGELOLA PENSIUN (TASPEN/ASABRI)</t>
  </si>
  <si>
    <t>taspen</t>
  </si>
  <si>
    <t>NO. PK</t>
  </si>
  <si>
    <t>jshds</t>
  </si>
  <si>
    <t>TGL AKAD PK</t>
  </si>
  <si>
    <t xml:space="preserve">JANGKA WAKTU </t>
  </si>
  <si>
    <t>PLAFOND</t>
  </si>
  <si>
    <t>BANK</t>
  </si>
  <si>
    <t>PROVISI BANK (0.5%)</t>
  </si>
  <si>
    <t>ADMINISTRASI (0.5%)</t>
  </si>
  <si>
    <t xml:space="preserve">TOTAL BIAYA BANK </t>
  </si>
  <si>
    <t>MITRA CHANNELING</t>
  </si>
  <si>
    <t>ASURANSI</t>
  </si>
  <si>
    <t>BIAYA FLAGGING</t>
  </si>
  <si>
    <t>BIAYA ADMINISTRASI</t>
  </si>
  <si>
    <t>MATERAI</t>
  </si>
  <si>
    <t>TOTAL BIAYA MITRA CHANNELING</t>
  </si>
  <si>
    <t xml:space="preserve">ANGSURAN DIBAYAR DIMUKA </t>
  </si>
  <si>
    <t xml:space="preserve">TOTAL PENERIMAAN NASABAH </t>
  </si>
  <si>
    <t>ANGSURAN PER BULAN BANK (POKOK + BUNGA)</t>
  </si>
  <si>
    <t>BIAYA ADMINISTRASI ANGSURAN ( BAA)</t>
  </si>
  <si>
    <t>TOTAL ANGSURAN PER BULAN (BANK + BAA)</t>
  </si>
  <si>
    <t xml:space="preserve">NOMOR REKENING NASABAH </t>
  </si>
  <si>
    <t xml:space="preserve">KB BANK CABANG </t>
  </si>
  <si>
    <t xml:space="preserve">NAMA AO </t>
  </si>
  <si>
    <t>KODE AO</t>
  </si>
  <si>
    <t>KET</t>
  </si>
  <si>
    <t>KANTOR BAYAR SEBELUMNYA (KHUSUS TAKE OVER)</t>
  </si>
  <si>
    <t xml:space="preserve">DANA TAKE OVER </t>
  </si>
  <si>
    <t xml:space="preserve">BLOKIR DANA </t>
  </si>
  <si>
    <t>HORMAT KAMI,</t>
  </si>
  <si>
    <t>Paraf Maker</t>
  </si>
  <si>
    <t>Paraf Checker</t>
  </si>
  <si>
    <t>KETUA KOPERASI</t>
  </si>
  <si>
    <t>*tidak perlu di print/ttd</t>
  </si>
  <si>
    <t>*baris kuning diisi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</si>
</sst>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1]dd\ mmmm\ yyyy"/>
    <numFmt numFmtId="165" formatCode="_-[$Rp-421]* #,##0_-;\-[$Rp-421]* #,##0_-;_-[$Rp-421]* &quot;-&quot;_-;_-@"/>
    <numFmt numFmtId="166" formatCode="_(* #,##0_);_(* \(#,##0\);_(* &quot;-&quot;??_);_(@_)"/>
  </numFmts>
  <fonts count="6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name val="Arial"/>
    </font>
    <font>
      <b/>
      <u/>
      <sz val="11"/>
      <color theme="1"/>
      <name val="Calibri"/>
    </font>
    <font>
      <b/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165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3" fillId="0" borderId="14" xfId="0" applyFont="1" applyBorder="1"/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,%209,%2013,%20REPAYMEN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KA VERTIKAL"/>
      <sheetName val="DATA NOMINATIF"/>
      <sheetName val="DNKA HORIZONTAL"/>
      <sheetName val="DATA LOS BULK"/>
      <sheetName val="DATA REKENING"/>
      <sheetName val="REPAYMENT SCHEDULE"/>
    </sheetNames>
    <sheetDataSet>
      <sheetData sheetId="0"/>
      <sheetData sheetId="1"/>
      <sheetData sheetId="2"/>
      <sheetData sheetId="3"/>
      <sheetData sheetId="4"/>
      <sheetData sheetId="5">
        <row r="9">
          <cell r="D9">
            <v>1441410.6488779453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2828-2FA5-4DE2-BD6E-B55BAE00A5C0}">
  <dimension ref="A1:X1000"/>
  <sheetViews>
    <sheetView tabSelected="1" workbookViewId="0">
      <selection activeCell="K16" sqref="K16"/>
    </sheetView>
  </sheetViews>
  <sheetFormatPr defaultColWidth="12.6640625" defaultRowHeight="15.75" customHeight="1" x14ac:dyDescent="0.3"/>
  <cols>
    <col min="1" max="1" width="3.44140625" customWidth="1"/>
    <col min="2" max="2" width="5.33203125" customWidth="1"/>
    <col min="3" max="3" width="1.6640625" customWidth="1"/>
    <col min="4" max="8" width="7.6640625" customWidth="1"/>
    <col min="9" max="9" width="31.77734375" customWidth="1"/>
    <col min="10" max="24" width="7.6640625" customWidth="1"/>
  </cols>
  <sheetData>
    <row r="1" spans="1:24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">
      <c r="A3" s="4" t="s">
        <v>2</v>
      </c>
      <c r="B3" s="3"/>
      <c r="C3" s="5" t="s">
        <v>3</v>
      </c>
      <c r="D3" s="6">
        <f ca="1">TODAY()</f>
        <v>46152</v>
      </c>
      <c r="E3" s="2"/>
      <c r="I3" s="7"/>
    </row>
    <row r="4" spans="1:24" ht="15.75" customHeight="1" x14ac:dyDescent="0.3">
      <c r="A4" s="8"/>
      <c r="I4" s="7"/>
    </row>
    <row r="5" spans="1:24" ht="15.75" customHeight="1" x14ac:dyDescent="0.3">
      <c r="A5" s="9" t="s">
        <v>4</v>
      </c>
      <c r="B5" s="10" t="s">
        <v>5</v>
      </c>
      <c r="C5" s="11"/>
      <c r="D5" s="11"/>
      <c r="E5" s="11"/>
      <c r="F5" s="11"/>
      <c r="G5" s="11"/>
      <c r="H5" s="12"/>
      <c r="I5" s="13"/>
    </row>
    <row r="6" spans="1:24" ht="15.75" customHeight="1" x14ac:dyDescent="0.3">
      <c r="A6" s="14">
        <v>1</v>
      </c>
      <c r="B6" s="15" t="s">
        <v>6</v>
      </c>
      <c r="C6" s="11"/>
      <c r="D6" s="11"/>
      <c r="E6" s="11"/>
      <c r="F6" s="11"/>
      <c r="G6" s="11"/>
      <c r="H6" s="12"/>
      <c r="I6" s="16" t="s">
        <v>7</v>
      </c>
    </row>
    <row r="7" spans="1:24" ht="15.75" customHeight="1" x14ac:dyDescent="0.3">
      <c r="A7" s="14">
        <v>2</v>
      </c>
      <c r="B7" s="15" t="s">
        <v>8</v>
      </c>
      <c r="C7" s="11"/>
      <c r="D7" s="11"/>
      <c r="E7" s="11"/>
      <c r="F7" s="11"/>
      <c r="G7" s="11"/>
      <c r="H7" s="12"/>
      <c r="I7" s="17" t="s">
        <v>9</v>
      </c>
    </row>
    <row r="8" spans="1:24" ht="15.75" customHeight="1" x14ac:dyDescent="0.3">
      <c r="A8" s="14">
        <v>3</v>
      </c>
      <c r="B8" s="15" t="s">
        <v>10</v>
      </c>
      <c r="C8" s="11"/>
      <c r="D8" s="11"/>
      <c r="E8" s="11"/>
      <c r="F8" s="11"/>
      <c r="G8" s="11"/>
      <c r="H8" s="12"/>
      <c r="I8" s="16" t="s">
        <v>11</v>
      </c>
    </row>
    <row r="9" spans="1:24" ht="15.75" customHeight="1" x14ac:dyDescent="0.3">
      <c r="A9" s="14">
        <v>4</v>
      </c>
      <c r="B9" s="15" t="s">
        <v>12</v>
      </c>
      <c r="C9" s="11"/>
      <c r="D9" s="11"/>
      <c r="E9" s="11"/>
      <c r="F9" s="11"/>
      <c r="G9" s="11"/>
      <c r="H9" s="12"/>
      <c r="I9" s="17" t="s">
        <v>13</v>
      </c>
    </row>
    <row r="10" spans="1:24" ht="15.75" customHeight="1" x14ac:dyDescent="0.3">
      <c r="A10" s="14">
        <v>5</v>
      </c>
      <c r="B10" s="15" t="s">
        <v>14</v>
      </c>
      <c r="C10" s="11"/>
      <c r="D10" s="11"/>
      <c r="E10" s="11"/>
      <c r="F10" s="11"/>
      <c r="G10" s="11"/>
      <c r="H10" s="12"/>
      <c r="I10" s="17" t="s">
        <v>15</v>
      </c>
    </row>
    <row r="11" spans="1:24" ht="15.75" customHeight="1" x14ac:dyDescent="0.3">
      <c r="A11" s="14">
        <v>6</v>
      </c>
      <c r="B11" s="15" t="s">
        <v>16</v>
      </c>
      <c r="C11" s="11"/>
      <c r="D11" s="11"/>
      <c r="E11" s="11"/>
      <c r="F11" s="11"/>
      <c r="G11" s="11"/>
      <c r="H11" s="12"/>
      <c r="I11" s="17" t="s">
        <v>17</v>
      </c>
    </row>
    <row r="12" spans="1:24" ht="15.75" customHeight="1" x14ac:dyDescent="0.3">
      <c r="A12" s="14">
        <v>7</v>
      </c>
      <c r="B12" s="15" t="s">
        <v>18</v>
      </c>
      <c r="C12" s="11"/>
      <c r="D12" s="11"/>
      <c r="E12" s="11"/>
      <c r="F12" s="11"/>
      <c r="G12" s="11"/>
      <c r="H12" s="12"/>
      <c r="I12" s="16" t="s">
        <v>19</v>
      </c>
    </row>
    <row r="13" spans="1:24" ht="15.75" customHeight="1" x14ac:dyDescent="0.3">
      <c r="A13" s="14">
        <v>8</v>
      </c>
      <c r="B13" s="15" t="s">
        <v>20</v>
      </c>
      <c r="C13" s="11"/>
      <c r="D13" s="11"/>
      <c r="E13" s="11"/>
      <c r="F13" s="11"/>
      <c r="G13" s="11"/>
      <c r="H13" s="12"/>
      <c r="I13" s="16" t="s">
        <v>21</v>
      </c>
    </row>
    <row r="14" spans="1:24" ht="15.75" customHeight="1" x14ac:dyDescent="0.3">
      <c r="A14" s="14">
        <v>9</v>
      </c>
      <c r="B14" s="15" t="s">
        <v>22</v>
      </c>
      <c r="C14" s="11"/>
      <c r="D14" s="11"/>
      <c r="E14" s="11"/>
      <c r="F14" s="11"/>
      <c r="G14" s="11"/>
      <c r="H14" s="12"/>
      <c r="I14" s="18">
        <v>45590</v>
      </c>
    </row>
    <row r="15" spans="1:24" ht="15.75" customHeight="1" x14ac:dyDescent="0.3">
      <c r="A15" s="14">
        <v>10</v>
      </c>
      <c r="B15" s="15" t="s">
        <v>23</v>
      </c>
      <c r="C15" s="11"/>
      <c r="D15" s="11"/>
      <c r="E15" s="11"/>
      <c r="F15" s="11"/>
      <c r="G15" s="11"/>
      <c r="H15" s="12"/>
      <c r="I15" s="19">
        <v>104</v>
      </c>
    </row>
    <row r="16" spans="1:24" ht="15.75" customHeight="1" x14ac:dyDescent="0.3">
      <c r="A16" s="14">
        <v>11</v>
      </c>
      <c r="B16" s="15" t="s">
        <v>24</v>
      </c>
      <c r="C16" s="11"/>
      <c r="D16" s="11"/>
      <c r="E16" s="11"/>
      <c r="F16" s="11"/>
      <c r="G16" s="11"/>
      <c r="H16" s="12"/>
      <c r="I16" s="20">
        <v>100000000</v>
      </c>
    </row>
    <row r="17" spans="1:9" ht="15.75" customHeight="1" x14ac:dyDescent="0.3">
      <c r="A17" s="14">
        <v>12</v>
      </c>
      <c r="B17" s="21" t="s">
        <v>25</v>
      </c>
      <c r="C17" s="22"/>
      <c r="D17" s="22"/>
      <c r="E17" s="23"/>
      <c r="F17" s="15" t="s">
        <v>26</v>
      </c>
      <c r="G17" s="11"/>
      <c r="H17" s="12"/>
      <c r="I17" s="20">
        <f>I16*0.5%</f>
        <v>500000</v>
      </c>
    </row>
    <row r="18" spans="1:9" ht="15.75" customHeight="1" x14ac:dyDescent="0.3">
      <c r="A18" s="14">
        <v>13</v>
      </c>
      <c r="B18" s="24"/>
      <c r="C18" s="25"/>
      <c r="D18" s="25"/>
      <c r="E18" s="26"/>
      <c r="F18" s="15" t="s">
        <v>27</v>
      </c>
      <c r="G18" s="11"/>
      <c r="H18" s="12"/>
      <c r="I18" s="20">
        <f>I16*0.5%</f>
        <v>500000</v>
      </c>
    </row>
    <row r="19" spans="1:9" ht="15.75" customHeight="1" x14ac:dyDescent="0.3">
      <c r="A19" s="14">
        <v>14</v>
      </c>
      <c r="B19" s="15" t="s">
        <v>28</v>
      </c>
      <c r="C19" s="11"/>
      <c r="D19" s="11"/>
      <c r="E19" s="11"/>
      <c r="F19" s="11"/>
      <c r="G19" s="11"/>
      <c r="H19" s="12"/>
      <c r="I19" s="20">
        <f>SUM(I17:I18)</f>
        <v>1000000</v>
      </c>
    </row>
    <row r="20" spans="1:9" ht="15.75" customHeight="1" x14ac:dyDescent="0.3">
      <c r="A20" s="14">
        <v>15</v>
      </c>
      <c r="B20" s="21" t="s">
        <v>29</v>
      </c>
      <c r="C20" s="22"/>
      <c r="D20" s="22"/>
      <c r="E20" s="23"/>
      <c r="F20" s="15" t="s">
        <v>30</v>
      </c>
      <c r="G20" s="11"/>
      <c r="H20" s="12"/>
      <c r="I20" s="20"/>
    </row>
    <row r="21" spans="1:9" ht="15.75" customHeight="1" x14ac:dyDescent="0.3">
      <c r="A21" s="14">
        <v>16</v>
      </c>
      <c r="B21" s="27"/>
      <c r="C21" s="2"/>
      <c r="D21" s="2"/>
      <c r="E21" s="28"/>
      <c r="F21" s="15" t="s">
        <v>31</v>
      </c>
      <c r="G21" s="11"/>
      <c r="H21" s="12"/>
      <c r="I21" s="20">
        <v>816000</v>
      </c>
    </row>
    <row r="22" spans="1:9" ht="15.75" customHeight="1" x14ac:dyDescent="0.3">
      <c r="A22" s="14">
        <v>17</v>
      </c>
      <c r="B22" s="27"/>
      <c r="C22" s="2"/>
      <c r="D22" s="2"/>
      <c r="E22" s="28"/>
      <c r="F22" s="15" t="s">
        <v>32</v>
      </c>
      <c r="G22" s="11"/>
      <c r="H22" s="12"/>
      <c r="I22" s="20">
        <f>I16*5%</f>
        <v>5000000</v>
      </c>
    </row>
    <row r="23" spans="1:9" ht="15.75" customHeight="1" x14ac:dyDescent="0.3">
      <c r="A23" s="14">
        <v>18</v>
      </c>
      <c r="B23" s="24"/>
      <c r="C23" s="25"/>
      <c r="D23" s="25"/>
      <c r="E23" s="26"/>
      <c r="F23" s="15" t="s">
        <v>33</v>
      </c>
      <c r="G23" s="11"/>
      <c r="H23" s="12"/>
      <c r="I23" s="20">
        <v>80000</v>
      </c>
    </row>
    <row r="24" spans="1:9" ht="15.75" customHeight="1" x14ac:dyDescent="0.3">
      <c r="A24" s="14">
        <v>19</v>
      </c>
      <c r="B24" s="15" t="s">
        <v>34</v>
      </c>
      <c r="C24" s="11"/>
      <c r="D24" s="11"/>
      <c r="E24" s="11"/>
      <c r="F24" s="11"/>
      <c r="G24" s="11"/>
      <c r="H24" s="12"/>
      <c r="I24" s="20">
        <f>SUM(I20:I23)</f>
        <v>5896000</v>
      </c>
    </row>
    <row r="25" spans="1:9" ht="15.75" customHeight="1" x14ac:dyDescent="0.3">
      <c r="A25" s="14">
        <v>20</v>
      </c>
      <c r="B25" s="15" t="s">
        <v>35</v>
      </c>
      <c r="C25" s="11"/>
      <c r="D25" s="11"/>
      <c r="E25" s="11"/>
      <c r="F25" s="11"/>
      <c r="G25" s="11"/>
      <c r="H25" s="12"/>
      <c r="I25" s="20"/>
    </row>
    <row r="26" spans="1:9" ht="15.75" customHeight="1" x14ac:dyDescent="0.3">
      <c r="A26" s="14">
        <v>22</v>
      </c>
      <c r="B26" s="15" t="s">
        <v>36</v>
      </c>
      <c r="C26" s="11"/>
      <c r="D26" s="11"/>
      <c r="E26" s="11"/>
      <c r="F26" s="11"/>
      <c r="G26" s="11"/>
      <c r="H26" s="12"/>
      <c r="I26" s="20">
        <f>I16-I19-I24-I25</f>
        <v>93104000</v>
      </c>
    </row>
    <row r="27" spans="1:9" ht="15.75" customHeight="1" x14ac:dyDescent="0.3">
      <c r="A27" s="14">
        <v>23</v>
      </c>
      <c r="B27" s="15" t="s">
        <v>37</v>
      </c>
      <c r="C27" s="11"/>
      <c r="D27" s="11"/>
      <c r="E27" s="11"/>
      <c r="F27" s="11"/>
      <c r="G27" s="11"/>
      <c r="H27" s="12"/>
      <c r="I27" s="20">
        <f>+'[1]REPAYMENT SCHEDULE'!D9</f>
        <v>1441410.6488779453</v>
      </c>
    </row>
    <row r="28" spans="1:9" ht="14.4" x14ac:dyDescent="0.3">
      <c r="A28" s="14">
        <v>24</v>
      </c>
      <c r="B28" s="15" t="s">
        <v>38</v>
      </c>
      <c r="C28" s="11"/>
      <c r="D28" s="11"/>
      <c r="E28" s="11"/>
      <c r="F28" s="11"/>
      <c r="G28" s="11"/>
      <c r="H28" s="12"/>
      <c r="I28" s="20">
        <f>I29-I27</f>
        <v>58589.351122054737</v>
      </c>
    </row>
    <row r="29" spans="1:9" ht="14.4" x14ac:dyDescent="0.3">
      <c r="A29" s="14">
        <v>25</v>
      </c>
      <c r="B29" s="15" t="s">
        <v>39</v>
      </c>
      <c r="C29" s="11"/>
      <c r="D29" s="11"/>
      <c r="E29" s="11"/>
      <c r="F29" s="11"/>
      <c r="G29" s="11"/>
      <c r="H29" s="12"/>
      <c r="I29" s="20">
        <v>1500000</v>
      </c>
    </row>
    <row r="30" spans="1:9" ht="14.4" x14ac:dyDescent="0.3">
      <c r="A30" s="14">
        <v>26</v>
      </c>
      <c r="B30" s="15" t="s">
        <v>40</v>
      </c>
      <c r="C30" s="11"/>
      <c r="D30" s="11"/>
      <c r="E30" s="11"/>
      <c r="F30" s="11"/>
      <c r="G30" s="11"/>
      <c r="H30" s="12"/>
      <c r="I30" s="16"/>
    </row>
    <row r="31" spans="1:9" ht="14.4" x14ac:dyDescent="0.3">
      <c r="A31" s="14">
        <v>27</v>
      </c>
      <c r="B31" s="15" t="s">
        <v>41</v>
      </c>
      <c r="C31" s="11"/>
      <c r="D31" s="11"/>
      <c r="E31" s="11"/>
      <c r="F31" s="11"/>
      <c r="G31" s="11"/>
      <c r="H31" s="12"/>
      <c r="I31" s="29"/>
    </row>
    <row r="32" spans="1:9" ht="14.4" x14ac:dyDescent="0.3">
      <c r="A32" s="14">
        <v>28</v>
      </c>
      <c r="B32" s="15" t="s">
        <v>42</v>
      </c>
      <c r="C32" s="11"/>
      <c r="D32" s="11"/>
      <c r="E32" s="11"/>
      <c r="F32" s="11"/>
      <c r="G32" s="11"/>
      <c r="H32" s="12"/>
      <c r="I32" s="29"/>
    </row>
    <row r="33" spans="1:9" ht="14.4" x14ac:dyDescent="0.3">
      <c r="A33" s="14">
        <v>29</v>
      </c>
      <c r="B33" s="15" t="s">
        <v>43</v>
      </c>
      <c r="C33" s="11"/>
      <c r="D33" s="11"/>
      <c r="E33" s="11"/>
      <c r="F33" s="11"/>
      <c r="G33" s="11"/>
      <c r="H33" s="12"/>
      <c r="I33" s="16"/>
    </row>
    <row r="34" spans="1:9" ht="14.4" x14ac:dyDescent="0.3">
      <c r="A34" s="14">
        <v>30</v>
      </c>
      <c r="B34" s="15" t="s">
        <v>44</v>
      </c>
      <c r="C34" s="11"/>
      <c r="D34" s="11"/>
      <c r="E34" s="11"/>
      <c r="F34" s="11"/>
      <c r="G34" s="11"/>
      <c r="H34" s="12"/>
      <c r="I34" s="30"/>
    </row>
    <row r="35" spans="1:9" ht="14.4" x14ac:dyDescent="0.3">
      <c r="A35" s="14">
        <v>31</v>
      </c>
      <c r="B35" s="15" t="s">
        <v>45</v>
      </c>
      <c r="C35" s="11"/>
      <c r="D35" s="11"/>
      <c r="E35" s="11"/>
      <c r="F35" s="11"/>
      <c r="G35" s="11"/>
      <c r="H35" s="12"/>
      <c r="I35" s="30"/>
    </row>
    <row r="36" spans="1:9" ht="14.4" x14ac:dyDescent="0.3">
      <c r="A36" s="14">
        <v>32</v>
      </c>
      <c r="B36" s="15" t="s">
        <v>46</v>
      </c>
      <c r="C36" s="11"/>
      <c r="D36" s="11"/>
      <c r="E36" s="11"/>
      <c r="F36" s="11"/>
      <c r="G36" s="11"/>
      <c r="H36" s="12"/>
      <c r="I36" s="30"/>
    </row>
    <row r="37" spans="1:9" ht="14.4" x14ac:dyDescent="0.3">
      <c r="A37" s="14">
        <v>33</v>
      </c>
      <c r="B37" s="15" t="s">
        <v>47</v>
      </c>
      <c r="C37" s="11"/>
      <c r="D37" s="11"/>
      <c r="E37" s="11"/>
      <c r="F37" s="11"/>
      <c r="G37" s="11"/>
      <c r="H37" s="12"/>
      <c r="I37" s="31"/>
    </row>
    <row r="38" spans="1:9" ht="14.4" x14ac:dyDescent="0.3">
      <c r="A38" s="8"/>
      <c r="I38" s="7"/>
    </row>
    <row r="39" spans="1:9" ht="14.4" x14ac:dyDescent="0.3">
      <c r="A39" s="8"/>
      <c r="I39" s="7"/>
    </row>
    <row r="40" spans="1:9" ht="14.4" x14ac:dyDescent="0.3">
      <c r="A40" s="3" t="s">
        <v>48</v>
      </c>
      <c r="B40" s="3"/>
      <c r="C40" s="3"/>
      <c r="D40" s="3"/>
      <c r="G40" s="32" t="s">
        <v>49</v>
      </c>
      <c r="H40" s="12"/>
      <c r="I40" s="14" t="s">
        <v>50</v>
      </c>
    </row>
    <row r="41" spans="1:9" ht="14.4" x14ac:dyDescent="0.3">
      <c r="A41" s="3"/>
      <c r="B41" s="3"/>
      <c r="C41" s="3"/>
      <c r="D41" s="3"/>
      <c r="G41" s="33"/>
      <c r="H41" s="23"/>
      <c r="I41" s="34"/>
    </row>
    <row r="42" spans="1:9" ht="14.4" x14ac:dyDescent="0.3">
      <c r="A42" s="3"/>
      <c r="B42" s="3"/>
      <c r="C42" s="3"/>
      <c r="D42" s="3"/>
      <c r="G42" s="24"/>
      <c r="H42" s="26"/>
      <c r="I42" s="35"/>
    </row>
    <row r="43" spans="1:9" ht="14.4" x14ac:dyDescent="0.3">
      <c r="A43" s="3"/>
      <c r="B43" s="3"/>
      <c r="C43" s="3"/>
      <c r="D43" s="3"/>
      <c r="I43" s="7"/>
    </row>
    <row r="44" spans="1:9" ht="14.4" x14ac:dyDescent="0.3">
      <c r="A44" s="3"/>
      <c r="B44" s="3"/>
      <c r="C44" s="3"/>
      <c r="D44" s="3"/>
      <c r="I44" s="7"/>
    </row>
    <row r="45" spans="1:9" ht="14.4" x14ac:dyDescent="0.3">
      <c r="A45" s="36"/>
      <c r="B45" s="2"/>
      <c r="C45" s="2"/>
      <c r="D45" s="2"/>
      <c r="I45" s="7"/>
    </row>
    <row r="46" spans="1:9" ht="14.4" x14ac:dyDescent="0.3">
      <c r="A46" s="3" t="s">
        <v>51</v>
      </c>
      <c r="B46" s="3"/>
      <c r="C46" s="3"/>
      <c r="D46" s="3"/>
      <c r="I46" s="7"/>
    </row>
    <row r="47" spans="1:9" ht="14.4" x14ac:dyDescent="0.3">
      <c r="A47" s="8"/>
      <c r="I47" s="7"/>
    </row>
    <row r="48" spans="1:9" ht="14.4" x14ac:dyDescent="0.3">
      <c r="A48" s="8"/>
      <c r="D48" s="37" t="s">
        <v>52</v>
      </c>
      <c r="I48" s="7"/>
    </row>
    <row r="49" spans="1:9" ht="14.4" x14ac:dyDescent="0.3">
      <c r="A49" s="8"/>
      <c r="D49" s="37" t="s">
        <v>53</v>
      </c>
      <c r="I49" s="7"/>
    </row>
    <row r="50" spans="1:9" ht="14.4" x14ac:dyDescent="0.3">
      <c r="A50" s="8"/>
      <c r="I50" s="7"/>
    </row>
    <row r="51" spans="1:9" ht="14.4" x14ac:dyDescent="0.3">
      <c r="A51" s="8"/>
      <c r="I51" s="7"/>
    </row>
    <row r="52" spans="1:9" ht="14.4" x14ac:dyDescent="0.3">
      <c r="A52" s="8"/>
      <c r="I52" s="7"/>
    </row>
    <row r="53" spans="1:9" ht="14.4" x14ac:dyDescent="0.3">
      <c r="A53" s="8"/>
      <c r="I53" s="7"/>
    </row>
    <row r="54" spans="1:9" ht="14.4" x14ac:dyDescent="0.3">
      <c r="A54" s="8"/>
      <c r="I54" s="7"/>
    </row>
    <row r="55" spans="1:9" ht="14.4" x14ac:dyDescent="0.3">
      <c r="A55" s="8"/>
      <c r="I55" s="7"/>
    </row>
    <row r="56" spans="1:9" ht="14.4" x14ac:dyDescent="0.3">
      <c r="A56" s="8"/>
      <c r="I56" s="7"/>
    </row>
    <row r="57" spans="1:9" ht="14.4" x14ac:dyDescent="0.3">
      <c r="A57" s="8"/>
      <c r="I57" s="7"/>
    </row>
    <row r="58" spans="1:9" ht="14.4" x14ac:dyDescent="0.3">
      <c r="A58" s="8"/>
      <c r="I58" s="7"/>
    </row>
    <row r="59" spans="1:9" ht="14.4" x14ac:dyDescent="0.3">
      <c r="A59" s="8"/>
      <c r="I59" s="7"/>
    </row>
    <row r="60" spans="1:9" ht="14.4" x14ac:dyDescent="0.3">
      <c r="A60" s="8"/>
      <c r="I60" s="7"/>
    </row>
    <row r="61" spans="1:9" ht="14.4" x14ac:dyDescent="0.3">
      <c r="A61" s="8"/>
      <c r="I61" s="7"/>
    </row>
    <row r="62" spans="1:9" ht="14.4" x14ac:dyDescent="0.3">
      <c r="A62" s="8"/>
      <c r="I62" s="7"/>
    </row>
    <row r="63" spans="1:9" ht="14.4" x14ac:dyDescent="0.3">
      <c r="A63" s="8"/>
      <c r="I63" s="7"/>
    </row>
    <row r="64" spans="1:9" ht="14.4" x14ac:dyDescent="0.3">
      <c r="A64" s="8"/>
      <c r="I64" s="7"/>
    </row>
    <row r="65" spans="1:9" ht="14.4" x14ac:dyDescent="0.3">
      <c r="A65" s="8"/>
      <c r="I65" s="7"/>
    </row>
    <row r="66" spans="1:9" ht="14.4" x14ac:dyDescent="0.3">
      <c r="A66" s="8"/>
      <c r="I66" s="7"/>
    </row>
    <row r="67" spans="1:9" ht="14.4" x14ac:dyDescent="0.3">
      <c r="A67" s="8"/>
      <c r="I67" s="7"/>
    </row>
    <row r="68" spans="1:9" ht="14.4" x14ac:dyDescent="0.3">
      <c r="A68" s="8"/>
      <c r="I68" s="7"/>
    </row>
    <row r="69" spans="1:9" ht="14.4" x14ac:dyDescent="0.3">
      <c r="A69" s="8"/>
      <c r="I69" s="7"/>
    </row>
    <row r="70" spans="1:9" ht="14.4" x14ac:dyDescent="0.3">
      <c r="A70" s="8"/>
      <c r="I70" s="7"/>
    </row>
    <row r="71" spans="1:9" ht="14.4" x14ac:dyDescent="0.3">
      <c r="A71" s="8"/>
      <c r="I71" s="7"/>
    </row>
    <row r="72" spans="1:9" ht="14.4" x14ac:dyDescent="0.3">
      <c r="A72" s="8"/>
      <c r="I72" s="7"/>
    </row>
    <row r="73" spans="1:9" ht="14.4" x14ac:dyDescent="0.3">
      <c r="A73" s="8"/>
      <c r="I73" s="7"/>
    </row>
    <row r="74" spans="1:9" ht="14.4" x14ac:dyDescent="0.3">
      <c r="A74" s="8"/>
      <c r="I74" s="7"/>
    </row>
    <row r="75" spans="1:9" ht="14.4" x14ac:dyDescent="0.3">
      <c r="A75" s="8"/>
      <c r="I75" s="7"/>
    </row>
    <row r="76" spans="1:9" ht="14.4" x14ac:dyDescent="0.3">
      <c r="A76" s="8"/>
      <c r="I76" s="7"/>
    </row>
    <row r="77" spans="1:9" ht="14.4" x14ac:dyDescent="0.3">
      <c r="A77" s="8"/>
      <c r="I77" s="7"/>
    </row>
    <row r="78" spans="1:9" ht="14.4" x14ac:dyDescent="0.3">
      <c r="A78" s="8"/>
      <c r="I78" s="7"/>
    </row>
    <row r="79" spans="1:9" ht="14.4" x14ac:dyDescent="0.3">
      <c r="A79" s="8"/>
      <c r="I79" s="7"/>
    </row>
    <row r="80" spans="1:9" ht="14.4" x14ac:dyDescent="0.3">
      <c r="A80" s="8"/>
      <c r="I80" s="7"/>
    </row>
    <row r="81" spans="1:9" ht="14.4" x14ac:dyDescent="0.3">
      <c r="A81" s="8"/>
      <c r="I81" s="7"/>
    </row>
    <row r="82" spans="1:9" ht="14.4" x14ac:dyDescent="0.3">
      <c r="A82" s="8"/>
      <c r="I82" s="7"/>
    </row>
    <row r="83" spans="1:9" ht="14.4" x14ac:dyDescent="0.3">
      <c r="A83" s="8"/>
      <c r="I83" s="7"/>
    </row>
    <row r="84" spans="1:9" ht="14.4" x14ac:dyDescent="0.3">
      <c r="A84" s="8"/>
      <c r="I84" s="7"/>
    </row>
    <row r="85" spans="1:9" ht="14.4" x14ac:dyDescent="0.3">
      <c r="A85" s="8"/>
      <c r="I85" s="7"/>
    </row>
    <row r="86" spans="1:9" ht="14.4" x14ac:dyDescent="0.3">
      <c r="A86" s="8"/>
      <c r="I86" s="7"/>
    </row>
    <row r="87" spans="1:9" ht="14.4" x14ac:dyDescent="0.3">
      <c r="A87" s="8"/>
      <c r="I87" s="7"/>
    </row>
    <row r="88" spans="1:9" ht="14.4" x14ac:dyDescent="0.3">
      <c r="A88" s="8"/>
      <c r="I88" s="7"/>
    </row>
    <row r="89" spans="1:9" ht="14.4" x14ac:dyDescent="0.3">
      <c r="A89" s="8"/>
      <c r="I89" s="7"/>
    </row>
    <row r="90" spans="1:9" ht="14.4" x14ac:dyDescent="0.3">
      <c r="A90" s="8"/>
      <c r="I90" s="7"/>
    </row>
    <row r="91" spans="1:9" ht="14.4" x14ac:dyDescent="0.3">
      <c r="A91" s="8"/>
      <c r="I91" s="7"/>
    </row>
    <row r="92" spans="1:9" ht="14.4" x14ac:dyDescent="0.3">
      <c r="A92" s="8"/>
      <c r="I92" s="7"/>
    </row>
    <row r="93" spans="1:9" ht="14.4" x14ac:dyDescent="0.3">
      <c r="A93" s="8"/>
      <c r="I93" s="7"/>
    </row>
    <row r="94" spans="1:9" ht="14.4" x14ac:dyDescent="0.3">
      <c r="A94" s="8"/>
      <c r="I94" s="7"/>
    </row>
    <row r="95" spans="1:9" ht="14.4" x14ac:dyDescent="0.3">
      <c r="A95" s="8"/>
      <c r="I95" s="7"/>
    </row>
    <row r="96" spans="1:9" ht="14.4" x14ac:dyDescent="0.3">
      <c r="A96" s="8"/>
      <c r="I96" s="7"/>
    </row>
    <row r="97" spans="1:9" ht="14.4" x14ac:dyDescent="0.3">
      <c r="A97" s="8"/>
      <c r="I97" s="7"/>
    </row>
    <row r="98" spans="1:9" ht="14.4" x14ac:dyDescent="0.3">
      <c r="A98" s="8"/>
      <c r="I98" s="7"/>
    </row>
    <row r="99" spans="1:9" ht="14.4" x14ac:dyDescent="0.3">
      <c r="A99" s="8"/>
      <c r="I99" s="7"/>
    </row>
    <row r="100" spans="1:9" ht="14.4" x14ac:dyDescent="0.3">
      <c r="A100" s="8"/>
      <c r="I100" s="7"/>
    </row>
    <row r="101" spans="1:9" ht="14.4" x14ac:dyDescent="0.3">
      <c r="A101" s="8"/>
      <c r="I101" s="7"/>
    </row>
    <row r="102" spans="1:9" ht="14.4" x14ac:dyDescent="0.3">
      <c r="A102" s="8"/>
      <c r="I102" s="7"/>
    </row>
    <row r="103" spans="1:9" ht="14.4" x14ac:dyDescent="0.3">
      <c r="A103" s="8"/>
      <c r="I103" s="7"/>
    </row>
    <row r="104" spans="1:9" ht="14.4" x14ac:dyDescent="0.3">
      <c r="A104" s="8"/>
      <c r="I104" s="7"/>
    </row>
    <row r="105" spans="1:9" ht="14.4" x14ac:dyDescent="0.3">
      <c r="A105" s="8"/>
      <c r="I105" s="7"/>
    </row>
    <row r="106" spans="1:9" ht="14.4" x14ac:dyDescent="0.3">
      <c r="A106" s="8"/>
      <c r="I106" s="7"/>
    </row>
    <row r="107" spans="1:9" ht="14.4" x14ac:dyDescent="0.3">
      <c r="A107" s="8"/>
      <c r="I107" s="7"/>
    </row>
    <row r="108" spans="1:9" ht="14.4" x14ac:dyDescent="0.3">
      <c r="A108" s="8"/>
      <c r="I108" s="7"/>
    </row>
    <row r="109" spans="1:9" ht="14.4" x14ac:dyDescent="0.3">
      <c r="A109" s="8"/>
      <c r="I109" s="7"/>
    </row>
    <row r="110" spans="1:9" ht="14.4" x14ac:dyDescent="0.3">
      <c r="A110" s="8"/>
      <c r="I110" s="7"/>
    </row>
    <row r="111" spans="1:9" ht="14.4" x14ac:dyDescent="0.3">
      <c r="A111" s="8"/>
      <c r="I111" s="7"/>
    </row>
    <row r="112" spans="1:9" ht="14.4" x14ac:dyDescent="0.3">
      <c r="A112" s="8"/>
      <c r="I112" s="7"/>
    </row>
    <row r="113" spans="1:9" ht="14.4" x14ac:dyDescent="0.3">
      <c r="A113" s="8"/>
      <c r="I113" s="7"/>
    </row>
    <row r="114" spans="1:9" ht="14.4" x14ac:dyDescent="0.3">
      <c r="A114" s="8"/>
      <c r="I114" s="7"/>
    </row>
    <row r="115" spans="1:9" ht="14.4" x14ac:dyDescent="0.3">
      <c r="A115" s="8"/>
      <c r="I115" s="7"/>
    </row>
    <row r="116" spans="1:9" ht="14.4" x14ac:dyDescent="0.3">
      <c r="A116" s="8"/>
      <c r="I116" s="7"/>
    </row>
    <row r="117" spans="1:9" ht="14.4" x14ac:dyDescent="0.3">
      <c r="A117" s="8"/>
      <c r="I117" s="7"/>
    </row>
    <row r="118" spans="1:9" ht="14.4" x14ac:dyDescent="0.3">
      <c r="A118" s="8"/>
      <c r="I118" s="7"/>
    </row>
    <row r="119" spans="1:9" ht="14.4" x14ac:dyDescent="0.3">
      <c r="A119" s="8"/>
      <c r="I119" s="7"/>
    </row>
    <row r="120" spans="1:9" ht="14.4" x14ac:dyDescent="0.3">
      <c r="A120" s="8"/>
      <c r="I120" s="7"/>
    </row>
    <row r="121" spans="1:9" ht="14.4" x14ac:dyDescent="0.3">
      <c r="A121" s="8"/>
      <c r="I121" s="7"/>
    </row>
    <row r="122" spans="1:9" ht="14.4" x14ac:dyDescent="0.3">
      <c r="A122" s="8"/>
      <c r="I122" s="7"/>
    </row>
    <row r="123" spans="1:9" ht="14.4" x14ac:dyDescent="0.3">
      <c r="A123" s="8"/>
      <c r="I123" s="7"/>
    </row>
    <row r="124" spans="1:9" ht="14.4" x14ac:dyDescent="0.3">
      <c r="A124" s="8"/>
      <c r="I124" s="7"/>
    </row>
    <row r="125" spans="1:9" ht="14.4" x14ac:dyDescent="0.3">
      <c r="A125" s="8"/>
      <c r="I125" s="7"/>
    </row>
    <row r="126" spans="1:9" ht="14.4" x14ac:dyDescent="0.3">
      <c r="A126" s="8"/>
      <c r="I126" s="7"/>
    </row>
    <row r="127" spans="1:9" ht="14.4" x14ac:dyDescent="0.3">
      <c r="A127" s="8"/>
      <c r="I127" s="7"/>
    </row>
    <row r="128" spans="1:9" ht="14.4" x14ac:dyDescent="0.3">
      <c r="A128" s="8"/>
      <c r="I128" s="7"/>
    </row>
    <row r="129" spans="1:9" ht="14.4" x14ac:dyDescent="0.3">
      <c r="A129" s="8"/>
      <c r="I129" s="7"/>
    </row>
    <row r="130" spans="1:9" ht="14.4" x14ac:dyDescent="0.3">
      <c r="A130" s="8"/>
      <c r="I130" s="7"/>
    </row>
    <row r="131" spans="1:9" ht="14.4" x14ac:dyDescent="0.3">
      <c r="A131" s="8"/>
      <c r="I131" s="7"/>
    </row>
    <row r="132" spans="1:9" ht="14.4" x14ac:dyDescent="0.3">
      <c r="A132" s="8"/>
      <c r="I132" s="7"/>
    </row>
    <row r="133" spans="1:9" ht="14.4" x14ac:dyDescent="0.3">
      <c r="A133" s="8"/>
      <c r="I133" s="7"/>
    </row>
    <row r="134" spans="1:9" ht="14.4" x14ac:dyDescent="0.3">
      <c r="A134" s="8"/>
      <c r="I134" s="7"/>
    </row>
    <row r="135" spans="1:9" ht="14.4" x14ac:dyDescent="0.3">
      <c r="A135" s="8"/>
      <c r="I135" s="7"/>
    </row>
    <row r="136" spans="1:9" ht="14.4" x14ac:dyDescent="0.3">
      <c r="A136" s="8"/>
      <c r="I136" s="7"/>
    </row>
    <row r="137" spans="1:9" ht="14.4" x14ac:dyDescent="0.3">
      <c r="A137" s="8"/>
      <c r="I137" s="7"/>
    </row>
    <row r="138" spans="1:9" ht="14.4" x14ac:dyDescent="0.3">
      <c r="A138" s="8"/>
      <c r="I138" s="7"/>
    </row>
    <row r="139" spans="1:9" ht="14.4" x14ac:dyDescent="0.3">
      <c r="A139" s="8"/>
      <c r="I139" s="7"/>
    </row>
    <row r="140" spans="1:9" ht="14.4" x14ac:dyDescent="0.3">
      <c r="A140" s="8"/>
      <c r="I140" s="7"/>
    </row>
    <row r="141" spans="1:9" ht="14.4" x14ac:dyDescent="0.3">
      <c r="A141" s="8"/>
      <c r="I141" s="7"/>
    </row>
    <row r="142" spans="1:9" ht="14.4" x14ac:dyDescent="0.3">
      <c r="A142" s="8"/>
      <c r="I142" s="7"/>
    </row>
    <row r="143" spans="1:9" ht="14.4" x14ac:dyDescent="0.3">
      <c r="A143" s="8"/>
      <c r="I143" s="7"/>
    </row>
    <row r="144" spans="1:9" ht="14.4" x14ac:dyDescent="0.3">
      <c r="A144" s="8"/>
      <c r="I144" s="7"/>
    </row>
    <row r="145" spans="1:9" ht="14.4" x14ac:dyDescent="0.3">
      <c r="A145" s="8"/>
      <c r="I145" s="7"/>
    </row>
    <row r="146" spans="1:9" ht="14.4" x14ac:dyDescent="0.3">
      <c r="A146" s="8"/>
      <c r="I146" s="7"/>
    </row>
    <row r="147" spans="1:9" ht="14.4" x14ac:dyDescent="0.3">
      <c r="A147" s="8"/>
      <c r="I147" s="7"/>
    </row>
    <row r="148" spans="1:9" ht="14.4" x14ac:dyDescent="0.3">
      <c r="A148" s="8"/>
      <c r="I148" s="7"/>
    </row>
    <row r="149" spans="1:9" ht="14.4" x14ac:dyDescent="0.3">
      <c r="A149" s="8"/>
      <c r="I149" s="7"/>
    </row>
    <row r="150" spans="1:9" ht="14.4" x14ac:dyDescent="0.3">
      <c r="A150" s="8"/>
      <c r="I150" s="7"/>
    </row>
    <row r="151" spans="1:9" ht="14.4" x14ac:dyDescent="0.3">
      <c r="A151" s="8"/>
      <c r="I151" s="7"/>
    </row>
    <row r="152" spans="1:9" ht="14.4" x14ac:dyDescent="0.3">
      <c r="A152" s="8"/>
      <c r="I152" s="7"/>
    </row>
    <row r="153" spans="1:9" ht="14.4" x14ac:dyDescent="0.3">
      <c r="A153" s="8"/>
      <c r="I153" s="7"/>
    </row>
    <row r="154" spans="1:9" ht="14.4" x14ac:dyDescent="0.3">
      <c r="A154" s="8"/>
      <c r="I154" s="7"/>
    </row>
    <row r="155" spans="1:9" ht="14.4" x14ac:dyDescent="0.3">
      <c r="A155" s="8"/>
      <c r="I155" s="7"/>
    </row>
    <row r="156" spans="1:9" ht="14.4" x14ac:dyDescent="0.3">
      <c r="A156" s="8"/>
      <c r="I156" s="7"/>
    </row>
    <row r="157" spans="1:9" ht="14.4" x14ac:dyDescent="0.3">
      <c r="A157" s="8"/>
      <c r="I157" s="7"/>
    </row>
    <row r="158" spans="1:9" ht="14.4" x14ac:dyDescent="0.3">
      <c r="A158" s="8"/>
      <c r="I158" s="7"/>
    </row>
    <row r="159" spans="1:9" ht="14.4" x14ac:dyDescent="0.3">
      <c r="A159" s="8"/>
      <c r="I159" s="7"/>
    </row>
    <row r="160" spans="1:9" ht="14.4" x14ac:dyDescent="0.3">
      <c r="A160" s="8"/>
      <c r="I160" s="7"/>
    </row>
    <row r="161" spans="1:9" ht="14.4" x14ac:dyDescent="0.3">
      <c r="A161" s="8"/>
      <c r="I161" s="7"/>
    </row>
    <row r="162" spans="1:9" ht="14.4" x14ac:dyDescent="0.3">
      <c r="A162" s="8"/>
      <c r="I162" s="7"/>
    </row>
    <row r="163" spans="1:9" ht="14.4" x14ac:dyDescent="0.3">
      <c r="A163" s="8"/>
      <c r="I163" s="7"/>
    </row>
    <row r="164" spans="1:9" ht="14.4" x14ac:dyDescent="0.3">
      <c r="A164" s="8"/>
      <c r="I164" s="7"/>
    </row>
    <row r="165" spans="1:9" ht="14.4" x14ac:dyDescent="0.3">
      <c r="A165" s="8"/>
      <c r="I165" s="7"/>
    </row>
    <row r="166" spans="1:9" ht="14.4" x14ac:dyDescent="0.3">
      <c r="A166" s="8"/>
      <c r="I166" s="7"/>
    </row>
    <row r="167" spans="1:9" ht="14.4" x14ac:dyDescent="0.3">
      <c r="A167" s="8"/>
      <c r="I167" s="7"/>
    </row>
    <row r="168" spans="1:9" ht="14.4" x14ac:dyDescent="0.3">
      <c r="A168" s="8"/>
      <c r="I168" s="7"/>
    </row>
    <row r="169" spans="1:9" ht="14.4" x14ac:dyDescent="0.3">
      <c r="A169" s="8"/>
      <c r="I169" s="7"/>
    </row>
    <row r="170" spans="1:9" ht="14.4" x14ac:dyDescent="0.3">
      <c r="A170" s="8"/>
      <c r="I170" s="7"/>
    </row>
    <row r="171" spans="1:9" ht="14.4" x14ac:dyDescent="0.3">
      <c r="A171" s="8"/>
      <c r="I171" s="7"/>
    </row>
    <row r="172" spans="1:9" ht="14.4" x14ac:dyDescent="0.3">
      <c r="A172" s="8"/>
      <c r="I172" s="7"/>
    </row>
    <row r="173" spans="1:9" ht="14.4" x14ac:dyDescent="0.3">
      <c r="A173" s="8"/>
      <c r="I173" s="7"/>
    </row>
    <row r="174" spans="1:9" ht="14.4" x14ac:dyDescent="0.3">
      <c r="A174" s="8"/>
      <c r="I174" s="7"/>
    </row>
    <row r="175" spans="1:9" ht="14.4" x14ac:dyDescent="0.3">
      <c r="A175" s="8"/>
      <c r="I175" s="7"/>
    </row>
    <row r="176" spans="1:9" ht="14.4" x14ac:dyDescent="0.3">
      <c r="A176" s="8"/>
      <c r="I176" s="7"/>
    </row>
    <row r="177" spans="1:9" ht="14.4" x14ac:dyDescent="0.3">
      <c r="A177" s="8"/>
      <c r="I177" s="7"/>
    </row>
    <row r="178" spans="1:9" ht="14.4" x14ac:dyDescent="0.3">
      <c r="A178" s="8"/>
      <c r="I178" s="7"/>
    </row>
    <row r="179" spans="1:9" ht="14.4" x14ac:dyDescent="0.3">
      <c r="A179" s="8"/>
      <c r="I179" s="7"/>
    </row>
    <row r="180" spans="1:9" ht="14.4" x14ac:dyDescent="0.3">
      <c r="A180" s="8"/>
      <c r="I180" s="7"/>
    </row>
    <row r="181" spans="1:9" ht="14.4" x14ac:dyDescent="0.3">
      <c r="A181" s="8"/>
      <c r="I181" s="7"/>
    </row>
    <row r="182" spans="1:9" ht="14.4" x14ac:dyDescent="0.3">
      <c r="A182" s="8"/>
      <c r="I182" s="7"/>
    </row>
    <row r="183" spans="1:9" ht="14.4" x14ac:dyDescent="0.3">
      <c r="A183" s="8"/>
      <c r="I183" s="7"/>
    </row>
    <row r="184" spans="1:9" ht="14.4" x14ac:dyDescent="0.3">
      <c r="A184" s="8"/>
      <c r="I184" s="7"/>
    </row>
    <row r="185" spans="1:9" ht="14.4" x14ac:dyDescent="0.3">
      <c r="A185" s="8"/>
      <c r="I185" s="7"/>
    </row>
    <row r="186" spans="1:9" ht="14.4" x14ac:dyDescent="0.3">
      <c r="A186" s="8"/>
      <c r="I186" s="7"/>
    </row>
    <row r="187" spans="1:9" ht="14.4" x14ac:dyDescent="0.3">
      <c r="A187" s="8"/>
      <c r="I187" s="7"/>
    </row>
    <row r="188" spans="1:9" ht="14.4" x14ac:dyDescent="0.3">
      <c r="A188" s="8"/>
      <c r="I188" s="7"/>
    </row>
    <row r="189" spans="1:9" ht="14.4" x14ac:dyDescent="0.3">
      <c r="A189" s="8"/>
      <c r="I189" s="7"/>
    </row>
    <row r="190" spans="1:9" ht="14.4" x14ac:dyDescent="0.3">
      <c r="A190" s="8"/>
      <c r="I190" s="7"/>
    </row>
    <row r="191" spans="1:9" ht="14.4" x14ac:dyDescent="0.3">
      <c r="A191" s="8"/>
      <c r="I191" s="7"/>
    </row>
    <row r="192" spans="1:9" ht="14.4" x14ac:dyDescent="0.3">
      <c r="A192" s="8"/>
      <c r="I192" s="7"/>
    </row>
    <row r="193" spans="1:9" ht="14.4" x14ac:dyDescent="0.3">
      <c r="A193" s="8"/>
      <c r="I193" s="7"/>
    </row>
    <row r="194" spans="1:9" ht="14.4" x14ac:dyDescent="0.3">
      <c r="A194" s="8"/>
      <c r="I194" s="7"/>
    </row>
    <row r="195" spans="1:9" ht="14.4" x14ac:dyDescent="0.3">
      <c r="A195" s="8"/>
      <c r="I195" s="7"/>
    </row>
    <row r="196" spans="1:9" ht="14.4" x14ac:dyDescent="0.3">
      <c r="A196" s="8"/>
      <c r="I196" s="7"/>
    </row>
    <row r="197" spans="1:9" ht="14.4" x14ac:dyDescent="0.3">
      <c r="A197" s="8"/>
      <c r="I197" s="7"/>
    </row>
    <row r="198" spans="1:9" ht="14.4" x14ac:dyDescent="0.3">
      <c r="A198" s="8"/>
      <c r="I198" s="7"/>
    </row>
    <row r="199" spans="1:9" ht="14.4" x14ac:dyDescent="0.3">
      <c r="A199" s="8"/>
      <c r="I199" s="7"/>
    </row>
    <row r="200" spans="1:9" ht="14.4" x14ac:dyDescent="0.3">
      <c r="A200" s="8"/>
      <c r="I200" s="7"/>
    </row>
    <row r="201" spans="1:9" ht="14.4" x14ac:dyDescent="0.3">
      <c r="A201" s="8"/>
      <c r="I201" s="7"/>
    </row>
    <row r="202" spans="1:9" ht="14.4" x14ac:dyDescent="0.3">
      <c r="A202" s="8"/>
      <c r="I202" s="7"/>
    </row>
    <row r="203" spans="1:9" ht="14.4" x14ac:dyDescent="0.3">
      <c r="A203" s="8"/>
      <c r="I203" s="7"/>
    </row>
    <row r="204" spans="1:9" ht="14.4" x14ac:dyDescent="0.3">
      <c r="A204" s="8"/>
      <c r="I204" s="7"/>
    </row>
    <row r="205" spans="1:9" ht="14.4" x14ac:dyDescent="0.3">
      <c r="A205" s="8"/>
      <c r="I205" s="7"/>
    </row>
    <row r="206" spans="1:9" ht="14.4" x14ac:dyDescent="0.3">
      <c r="A206" s="8"/>
      <c r="I206" s="7"/>
    </row>
    <row r="207" spans="1:9" ht="14.4" x14ac:dyDescent="0.3">
      <c r="A207" s="8"/>
      <c r="I207" s="7"/>
    </row>
    <row r="208" spans="1:9" ht="14.4" x14ac:dyDescent="0.3">
      <c r="A208" s="8"/>
      <c r="I208" s="7"/>
    </row>
    <row r="209" spans="1:9" ht="14.4" x14ac:dyDescent="0.3">
      <c r="A209" s="8"/>
      <c r="I209" s="7"/>
    </row>
    <row r="210" spans="1:9" ht="14.4" x14ac:dyDescent="0.3">
      <c r="A210" s="8"/>
      <c r="I210" s="7"/>
    </row>
    <row r="211" spans="1:9" ht="14.4" x14ac:dyDescent="0.3">
      <c r="A211" s="8"/>
      <c r="I211" s="7"/>
    </row>
    <row r="212" spans="1:9" ht="14.4" x14ac:dyDescent="0.3">
      <c r="A212" s="8"/>
      <c r="I212" s="7"/>
    </row>
    <row r="213" spans="1:9" ht="14.4" x14ac:dyDescent="0.3">
      <c r="A213" s="8"/>
      <c r="I213" s="7"/>
    </row>
    <row r="214" spans="1:9" ht="14.4" x14ac:dyDescent="0.3">
      <c r="A214" s="8"/>
      <c r="I214" s="7"/>
    </row>
    <row r="215" spans="1:9" ht="14.4" x14ac:dyDescent="0.3">
      <c r="A215" s="8"/>
      <c r="I215" s="7"/>
    </row>
    <row r="216" spans="1:9" ht="14.4" x14ac:dyDescent="0.3">
      <c r="A216" s="8"/>
      <c r="I216" s="7"/>
    </row>
    <row r="217" spans="1:9" ht="14.4" x14ac:dyDescent="0.3">
      <c r="A217" s="8"/>
      <c r="I217" s="7"/>
    </row>
    <row r="218" spans="1:9" ht="14.4" x14ac:dyDescent="0.3">
      <c r="A218" s="8"/>
      <c r="I218" s="7"/>
    </row>
    <row r="219" spans="1:9" ht="14.4" x14ac:dyDescent="0.3">
      <c r="A219" s="8"/>
      <c r="I219" s="7"/>
    </row>
    <row r="220" spans="1:9" ht="14.4" x14ac:dyDescent="0.3">
      <c r="A220" s="8"/>
      <c r="I220" s="7"/>
    </row>
    <row r="221" spans="1:9" ht="14.4" x14ac:dyDescent="0.3">
      <c r="A221" s="8"/>
      <c r="I221" s="7"/>
    </row>
    <row r="222" spans="1:9" ht="14.4" x14ac:dyDescent="0.3">
      <c r="A222" s="8"/>
      <c r="I222" s="7"/>
    </row>
    <row r="223" spans="1:9" ht="14.4" x14ac:dyDescent="0.3">
      <c r="A223" s="8"/>
      <c r="I223" s="7"/>
    </row>
    <row r="224" spans="1:9" ht="14.4" x14ac:dyDescent="0.3">
      <c r="A224" s="8"/>
      <c r="I224" s="7"/>
    </row>
    <row r="225" spans="1:9" ht="14.4" x14ac:dyDescent="0.3">
      <c r="A225" s="8"/>
      <c r="I225" s="7"/>
    </row>
    <row r="226" spans="1:9" ht="14.4" x14ac:dyDescent="0.3">
      <c r="A226" s="8"/>
      <c r="I226" s="7"/>
    </row>
    <row r="227" spans="1:9" ht="14.4" x14ac:dyDescent="0.3">
      <c r="A227" s="8"/>
      <c r="I227" s="7"/>
    </row>
    <row r="228" spans="1:9" ht="14.4" x14ac:dyDescent="0.3">
      <c r="A228" s="8"/>
      <c r="I228" s="7"/>
    </row>
    <row r="229" spans="1:9" ht="14.4" x14ac:dyDescent="0.3">
      <c r="A229" s="8"/>
      <c r="I229" s="7"/>
    </row>
    <row r="230" spans="1:9" ht="14.4" x14ac:dyDescent="0.3">
      <c r="A230" s="8"/>
      <c r="I230" s="7"/>
    </row>
    <row r="231" spans="1:9" ht="14.4" x14ac:dyDescent="0.3">
      <c r="A231" s="8"/>
      <c r="I231" s="7"/>
    </row>
    <row r="232" spans="1:9" ht="14.4" x14ac:dyDescent="0.3">
      <c r="A232" s="8"/>
      <c r="I232" s="7"/>
    </row>
    <row r="233" spans="1:9" ht="14.4" x14ac:dyDescent="0.3">
      <c r="A233" s="8"/>
      <c r="I233" s="7"/>
    </row>
    <row r="234" spans="1:9" ht="14.4" x14ac:dyDescent="0.3">
      <c r="A234" s="8"/>
      <c r="I234" s="7"/>
    </row>
    <row r="235" spans="1:9" ht="14.4" x14ac:dyDescent="0.3">
      <c r="A235" s="8"/>
      <c r="I235" s="7"/>
    </row>
    <row r="236" spans="1:9" ht="14.4" x14ac:dyDescent="0.3">
      <c r="A236" s="8"/>
      <c r="I236" s="7"/>
    </row>
    <row r="237" spans="1:9" ht="14.4" x14ac:dyDescent="0.3">
      <c r="A237" s="8"/>
      <c r="I237" s="7"/>
    </row>
    <row r="238" spans="1:9" ht="14.4" x14ac:dyDescent="0.3">
      <c r="A238" s="8"/>
      <c r="I238" s="7"/>
    </row>
    <row r="239" spans="1:9" ht="14.4" x14ac:dyDescent="0.3">
      <c r="A239" s="8"/>
      <c r="I239" s="7"/>
    </row>
    <row r="240" spans="1:9" ht="14.4" x14ac:dyDescent="0.3">
      <c r="A240" s="8"/>
      <c r="I240" s="7"/>
    </row>
    <row r="241" spans="1:9" ht="14.4" x14ac:dyDescent="0.3">
      <c r="A241" s="8"/>
      <c r="I241" s="7"/>
    </row>
    <row r="242" spans="1:9" ht="14.4" x14ac:dyDescent="0.3">
      <c r="A242" s="8"/>
      <c r="I242" s="7"/>
    </row>
    <row r="243" spans="1:9" ht="14.4" x14ac:dyDescent="0.3">
      <c r="A243" s="8"/>
      <c r="I243" s="7"/>
    </row>
    <row r="244" spans="1:9" ht="14.4" x14ac:dyDescent="0.3">
      <c r="A244" s="8"/>
      <c r="I244" s="7"/>
    </row>
    <row r="245" spans="1:9" ht="14.4" x14ac:dyDescent="0.3">
      <c r="A245" s="8"/>
      <c r="I245" s="7"/>
    </row>
    <row r="246" spans="1:9" ht="14.4" x14ac:dyDescent="0.3">
      <c r="A246" s="8"/>
      <c r="I246" s="7"/>
    </row>
    <row r="247" spans="1:9" ht="14.4" x14ac:dyDescent="0.3">
      <c r="A247" s="8"/>
      <c r="I247" s="7"/>
    </row>
    <row r="248" spans="1:9" ht="14.4" x14ac:dyDescent="0.3">
      <c r="A248" s="8"/>
      <c r="I248" s="7"/>
    </row>
    <row r="249" spans="1:9" ht="14.4" x14ac:dyDescent="0.3">
      <c r="A249" s="8"/>
      <c r="I249" s="7"/>
    </row>
    <row r="250" spans="1:9" ht="14.4" x14ac:dyDescent="0.3">
      <c r="A250" s="8"/>
      <c r="I250" s="7"/>
    </row>
    <row r="251" spans="1:9" ht="14.4" x14ac:dyDescent="0.3">
      <c r="A251" s="8"/>
      <c r="I251" s="7"/>
    </row>
    <row r="252" spans="1:9" ht="14.4" x14ac:dyDescent="0.3">
      <c r="A252" s="8"/>
      <c r="I252" s="7"/>
    </row>
    <row r="253" spans="1:9" ht="14.4" x14ac:dyDescent="0.3">
      <c r="A253" s="8"/>
      <c r="I253" s="7"/>
    </row>
    <row r="254" spans="1:9" ht="14.4" x14ac:dyDescent="0.3">
      <c r="A254" s="8"/>
      <c r="I254" s="7"/>
    </row>
    <row r="255" spans="1:9" ht="14.4" x14ac:dyDescent="0.3">
      <c r="A255" s="8"/>
      <c r="I255" s="7"/>
    </row>
    <row r="256" spans="1:9" ht="14.4" x14ac:dyDescent="0.3">
      <c r="A256" s="8"/>
      <c r="I256" s="7"/>
    </row>
    <row r="257" spans="1:9" ht="14.4" x14ac:dyDescent="0.3">
      <c r="A257" s="8"/>
      <c r="I257" s="7"/>
    </row>
    <row r="258" spans="1:9" ht="14.4" x14ac:dyDescent="0.3">
      <c r="A258" s="8"/>
      <c r="I258" s="7"/>
    </row>
    <row r="259" spans="1:9" ht="14.4" x14ac:dyDescent="0.3">
      <c r="A259" s="8"/>
      <c r="I259" s="7"/>
    </row>
    <row r="260" spans="1:9" ht="14.4" x14ac:dyDescent="0.3">
      <c r="A260" s="8"/>
      <c r="I260" s="7"/>
    </row>
    <row r="261" spans="1:9" ht="14.4" x14ac:dyDescent="0.3">
      <c r="A261" s="8"/>
      <c r="I261" s="7"/>
    </row>
    <row r="262" spans="1:9" ht="14.4" x14ac:dyDescent="0.3">
      <c r="A262" s="8"/>
      <c r="I262" s="7"/>
    </row>
    <row r="263" spans="1:9" ht="14.4" x14ac:dyDescent="0.3">
      <c r="A263" s="8"/>
      <c r="I263" s="7"/>
    </row>
    <row r="264" spans="1:9" ht="14.4" x14ac:dyDescent="0.3">
      <c r="A264" s="8"/>
      <c r="I264" s="7"/>
    </row>
    <row r="265" spans="1:9" ht="14.4" x14ac:dyDescent="0.3">
      <c r="A265" s="8"/>
      <c r="I265" s="7"/>
    </row>
    <row r="266" spans="1:9" ht="14.4" x14ac:dyDescent="0.3">
      <c r="A266" s="8"/>
      <c r="I266" s="7"/>
    </row>
    <row r="267" spans="1:9" ht="14.4" x14ac:dyDescent="0.3">
      <c r="A267" s="8"/>
      <c r="I267" s="7"/>
    </row>
    <row r="268" spans="1:9" ht="14.4" x14ac:dyDescent="0.3">
      <c r="A268" s="8"/>
      <c r="I268" s="7"/>
    </row>
    <row r="269" spans="1:9" ht="14.4" x14ac:dyDescent="0.3">
      <c r="A269" s="8"/>
      <c r="I269" s="7"/>
    </row>
    <row r="270" spans="1:9" ht="14.4" x14ac:dyDescent="0.3">
      <c r="A270" s="8"/>
      <c r="I270" s="7"/>
    </row>
    <row r="271" spans="1:9" ht="14.4" x14ac:dyDescent="0.3">
      <c r="A271" s="8"/>
      <c r="I271" s="7"/>
    </row>
    <row r="272" spans="1:9" ht="14.4" x14ac:dyDescent="0.3">
      <c r="A272" s="8"/>
      <c r="I272" s="7"/>
    </row>
    <row r="273" spans="1:9" ht="14.4" x14ac:dyDescent="0.3">
      <c r="A273" s="8"/>
      <c r="I273" s="7"/>
    </row>
    <row r="274" spans="1:9" ht="14.4" x14ac:dyDescent="0.3">
      <c r="A274" s="8"/>
      <c r="I274" s="7"/>
    </row>
    <row r="275" spans="1:9" ht="14.4" x14ac:dyDescent="0.3">
      <c r="A275" s="8"/>
      <c r="I275" s="7"/>
    </row>
    <row r="276" spans="1:9" ht="14.4" x14ac:dyDescent="0.3">
      <c r="A276" s="8"/>
      <c r="I276" s="7"/>
    </row>
    <row r="277" spans="1:9" ht="14.4" x14ac:dyDescent="0.3">
      <c r="A277" s="8"/>
      <c r="I277" s="7"/>
    </row>
    <row r="278" spans="1:9" ht="14.4" x14ac:dyDescent="0.3">
      <c r="A278" s="8"/>
      <c r="I278" s="7"/>
    </row>
    <row r="279" spans="1:9" ht="14.4" x14ac:dyDescent="0.3">
      <c r="A279" s="8"/>
      <c r="I279" s="7"/>
    </row>
    <row r="280" spans="1:9" ht="14.4" x14ac:dyDescent="0.3">
      <c r="A280" s="8"/>
      <c r="I280" s="7"/>
    </row>
    <row r="281" spans="1:9" ht="14.4" x14ac:dyDescent="0.3">
      <c r="A281" s="8"/>
      <c r="I281" s="7"/>
    </row>
    <row r="282" spans="1:9" ht="14.4" x14ac:dyDescent="0.3">
      <c r="A282" s="8"/>
      <c r="I282" s="7"/>
    </row>
    <row r="283" spans="1:9" ht="14.4" x14ac:dyDescent="0.3">
      <c r="A283" s="8"/>
      <c r="I283" s="7"/>
    </row>
    <row r="284" spans="1:9" ht="14.4" x14ac:dyDescent="0.3">
      <c r="A284" s="8"/>
      <c r="I284" s="7"/>
    </row>
    <row r="285" spans="1:9" ht="14.4" x14ac:dyDescent="0.3">
      <c r="A285" s="8"/>
      <c r="I285" s="7"/>
    </row>
    <row r="286" spans="1:9" ht="14.4" x14ac:dyDescent="0.3">
      <c r="A286" s="8"/>
      <c r="I286" s="7"/>
    </row>
    <row r="287" spans="1:9" ht="14.4" x14ac:dyDescent="0.3">
      <c r="A287" s="8"/>
      <c r="I287" s="7"/>
    </row>
    <row r="288" spans="1:9" ht="14.4" x14ac:dyDescent="0.3">
      <c r="A288" s="8"/>
      <c r="I288" s="7"/>
    </row>
    <row r="289" spans="1:9" ht="14.4" x14ac:dyDescent="0.3">
      <c r="A289" s="8"/>
      <c r="I289" s="7"/>
    </row>
    <row r="290" spans="1:9" ht="14.4" x14ac:dyDescent="0.3">
      <c r="A290" s="8"/>
      <c r="I290" s="7"/>
    </row>
    <row r="291" spans="1:9" ht="14.4" x14ac:dyDescent="0.3">
      <c r="A291" s="8"/>
      <c r="I291" s="7"/>
    </row>
    <row r="292" spans="1:9" ht="14.4" x14ac:dyDescent="0.3">
      <c r="A292" s="8"/>
      <c r="I292" s="7"/>
    </row>
    <row r="293" spans="1:9" ht="14.4" x14ac:dyDescent="0.3">
      <c r="A293" s="8"/>
      <c r="I293" s="7"/>
    </row>
    <row r="294" spans="1:9" ht="14.4" x14ac:dyDescent="0.3">
      <c r="A294" s="8"/>
      <c r="I294" s="7"/>
    </row>
    <row r="295" spans="1:9" ht="14.4" x14ac:dyDescent="0.3">
      <c r="A295" s="8"/>
      <c r="I295" s="7"/>
    </row>
    <row r="296" spans="1:9" ht="14.4" x14ac:dyDescent="0.3">
      <c r="A296" s="8"/>
      <c r="I296" s="7"/>
    </row>
    <row r="297" spans="1:9" ht="14.4" x14ac:dyDescent="0.3">
      <c r="A297" s="8"/>
      <c r="I297" s="7"/>
    </row>
    <row r="298" spans="1:9" ht="14.4" x14ac:dyDescent="0.3">
      <c r="A298" s="8"/>
      <c r="I298" s="7"/>
    </row>
    <row r="299" spans="1:9" ht="14.4" x14ac:dyDescent="0.3">
      <c r="A299" s="8"/>
      <c r="I299" s="7"/>
    </row>
    <row r="300" spans="1:9" ht="14.4" x14ac:dyDescent="0.3">
      <c r="A300" s="8"/>
      <c r="I300" s="7"/>
    </row>
    <row r="301" spans="1:9" ht="14.4" x14ac:dyDescent="0.3">
      <c r="A301" s="8"/>
      <c r="I301" s="7"/>
    </row>
    <row r="302" spans="1:9" ht="14.4" x14ac:dyDescent="0.3">
      <c r="A302" s="8"/>
      <c r="I302" s="7"/>
    </row>
    <row r="303" spans="1:9" ht="14.4" x14ac:dyDescent="0.3">
      <c r="A303" s="8"/>
      <c r="I303" s="7"/>
    </row>
    <row r="304" spans="1:9" ht="14.4" x14ac:dyDescent="0.3">
      <c r="A304" s="8"/>
      <c r="I304" s="7"/>
    </row>
    <row r="305" spans="1:9" ht="14.4" x14ac:dyDescent="0.3">
      <c r="A305" s="8"/>
      <c r="I305" s="7"/>
    </row>
    <row r="306" spans="1:9" ht="14.4" x14ac:dyDescent="0.3">
      <c r="A306" s="8"/>
      <c r="I306" s="7"/>
    </row>
    <row r="307" spans="1:9" ht="14.4" x14ac:dyDescent="0.3">
      <c r="A307" s="8"/>
      <c r="I307" s="7"/>
    </row>
    <row r="308" spans="1:9" ht="14.4" x14ac:dyDescent="0.3">
      <c r="A308" s="8"/>
      <c r="I308" s="7"/>
    </row>
    <row r="309" spans="1:9" ht="14.4" x14ac:dyDescent="0.3">
      <c r="A309" s="8"/>
      <c r="I309" s="7"/>
    </row>
    <row r="310" spans="1:9" ht="14.4" x14ac:dyDescent="0.3">
      <c r="A310" s="8"/>
      <c r="I310" s="7"/>
    </row>
    <row r="311" spans="1:9" ht="14.4" x14ac:dyDescent="0.3">
      <c r="A311" s="8"/>
      <c r="I311" s="7"/>
    </row>
    <row r="312" spans="1:9" ht="14.4" x14ac:dyDescent="0.3">
      <c r="A312" s="8"/>
      <c r="I312" s="7"/>
    </row>
    <row r="313" spans="1:9" ht="14.4" x14ac:dyDescent="0.3">
      <c r="A313" s="8"/>
      <c r="I313" s="7"/>
    </row>
    <row r="314" spans="1:9" ht="14.4" x14ac:dyDescent="0.3">
      <c r="A314" s="8"/>
      <c r="I314" s="7"/>
    </row>
    <row r="315" spans="1:9" ht="14.4" x14ac:dyDescent="0.3">
      <c r="A315" s="8"/>
      <c r="I315" s="7"/>
    </row>
    <row r="316" spans="1:9" ht="14.4" x14ac:dyDescent="0.3">
      <c r="A316" s="8"/>
      <c r="I316" s="7"/>
    </row>
    <row r="317" spans="1:9" ht="14.4" x14ac:dyDescent="0.3">
      <c r="A317" s="8"/>
      <c r="I317" s="7"/>
    </row>
    <row r="318" spans="1:9" ht="14.4" x14ac:dyDescent="0.3">
      <c r="A318" s="8"/>
      <c r="I318" s="7"/>
    </row>
    <row r="319" spans="1:9" ht="14.4" x14ac:dyDescent="0.3">
      <c r="A319" s="8"/>
      <c r="I319" s="7"/>
    </row>
    <row r="320" spans="1:9" ht="14.4" x14ac:dyDescent="0.3">
      <c r="A320" s="8"/>
      <c r="I320" s="7"/>
    </row>
    <row r="321" spans="1:9" ht="14.4" x14ac:dyDescent="0.3">
      <c r="A321" s="8"/>
      <c r="I321" s="7"/>
    </row>
    <row r="322" spans="1:9" ht="14.4" x14ac:dyDescent="0.3">
      <c r="A322" s="8"/>
      <c r="I322" s="7"/>
    </row>
    <row r="323" spans="1:9" ht="14.4" x14ac:dyDescent="0.3">
      <c r="A323" s="8"/>
      <c r="I323" s="7"/>
    </row>
    <row r="324" spans="1:9" ht="14.4" x14ac:dyDescent="0.3">
      <c r="A324" s="8"/>
      <c r="I324" s="7"/>
    </row>
    <row r="325" spans="1:9" ht="14.4" x14ac:dyDescent="0.3">
      <c r="A325" s="8"/>
      <c r="I325" s="7"/>
    </row>
    <row r="326" spans="1:9" ht="14.4" x14ac:dyDescent="0.3">
      <c r="A326" s="8"/>
      <c r="I326" s="7"/>
    </row>
    <row r="327" spans="1:9" ht="14.4" x14ac:dyDescent="0.3">
      <c r="A327" s="8"/>
      <c r="I327" s="7"/>
    </row>
    <row r="328" spans="1:9" ht="14.4" x14ac:dyDescent="0.3">
      <c r="A328" s="8"/>
      <c r="I328" s="7"/>
    </row>
    <row r="329" spans="1:9" ht="14.4" x14ac:dyDescent="0.3">
      <c r="A329" s="8"/>
      <c r="I329" s="7"/>
    </row>
    <row r="330" spans="1:9" ht="14.4" x14ac:dyDescent="0.3">
      <c r="A330" s="8"/>
      <c r="I330" s="7"/>
    </row>
    <row r="331" spans="1:9" ht="14.4" x14ac:dyDescent="0.3">
      <c r="A331" s="8"/>
      <c r="I331" s="7"/>
    </row>
    <row r="332" spans="1:9" ht="14.4" x14ac:dyDescent="0.3">
      <c r="A332" s="8"/>
      <c r="I332" s="7"/>
    </row>
    <row r="333" spans="1:9" ht="14.4" x14ac:dyDescent="0.3">
      <c r="A333" s="8"/>
      <c r="I333" s="7"/>
    </row>
    <row r="334" spans="1:9" ht="14.4" x14ac:dyDescent="0.3">
      <c r="A334" s="8"/>
      <c r="I334" s="7"/>
    </row>
    <row r="335" spans="1:9" ht="14.4" x14ac:dyDescent="0.3">
      <c r="A335" s="8"/>
      <c r="I335" s="7"/>
    </row>
    <row r="336" spans="1:9" ht="14.4" x14ac:dyDescent="0.3">
      <c r="A336" s="8"/>
      <c r="I336" s="7"/>
    </row>
    <row r="337" spans="1:9" ht="14.4" x14ac:dyDescent="0.3">
      <c r="A337" s="8"/>
      <c r="I337" s="7"/>
    </row>
    <row r="338" spans="1:9" ht="14.4" x14ac:dyDescent="0.3">
      <c r="A338" s="8"/>
      <c r="I338" s="7"/>
    </row>
    <row r="339" spans="1:9" ht="14.4" x14ac:dyDescent="0.3">
      <c r="A339" s="8"/>
      <c r="I339" s="7"/>
    </row>
    <row r="340" spans="1:9" ht="14.4" x14ac:dyDescent="0.3">
      <c r="A340" s="8"/>
      <c r="I340" s="7"/>
    </row>
    <row r="341" spans="1:9" ht="14.4" x14ac:dyDescent="0.3">
      <c r="A341" s="8"/>
      <c r="I341" s="7"/>
    </row>
    <row r="342" spans="1:9" ht="14.4" x14ac:dyDescent="0.3">
      <c r="A342" s="8"/>
      <c r="I342" s="7"/>
    </row>
    <row r="343" spans="1:9" ht="14.4" x14ac:dyDescent="0.3">
      <c r="A343" s="8"/>
      <c r="I343" s="7"/>
    </row>
    <row r="344" spans="1:9" ht="14.4" x14ac:dyDescent="0.3">
      <c r="A344" s="8"/>
      <c r="I344" s="7"/>
    </row>
    <row r="345" spans="1:9" ht="14.4" x14ac:dyDescent="0.3">
      <c r="A345" s="8"/>
      <c r="I345" s="7"/>
    </row>
    <row r="346" spans="1:9" ht="14.4" x14ac:dyDescent="0.3">
      <c r="A346" s="8"/>
      <c r="I346" s="7"/>
    </row>
    <row r="347" spans="1:9" ht="14.4" x14ac:dyDescent="0.3">
      <c r="A347" s="8"/>
      <c r="I347" s="7"/>
    </row>
    <row r="348" spans="1:9" ht="14.4" x14ac:dyDescent="0.3">
      <c r="A348" s="8"/>
      <c r="I348" s="7"/>
    </row>
    <row r="349" spans="1:9" ht="14.4" x14ac:dyDescent="0.3">
      <c r="A349" s="8"/>
      <c r="I349" s="7"/>
    </row>
    <row r="350" spans="1:9" ht="14.4" x14ac:dyDescent="0.3">
      <c r="A350" s="8"/>
      <c r="I350" s="7"/>
    </row>
    <row r="351" spans="1:9" ht="14.4" x14ac:dyDescent="0.3">
      <c r="A351" s="8"/>
      <c r="I351" s="7"/>
    </row>
    <row r="352" spans="1:9" ht="14.4" x14ac:dyDescent="0.3">
      <c r="A352" s="8"/>
      <c r="I352" s="7"/>
    </row>
    <row r="353" spans="1:9" ht="14.4" x14ac:dyDescent="0.3">
      <c r="A353" s="8"/>
      <c r="I353" s="7"/>
    </row>
    <row r="354" spans="1:9" ht="14.4" x14ac:dyDescent="0.3">
      <c r="A354" s="8"/>
      <c r="I354" s="7"/>
    </row>
    <row r="355" spans="1:9" ht="14.4" x14ac:dyDescent="0.3">
      <c r="A355" s="8"/>
      <c r="I355" s="7"/>
    </row>
    <row r="356" spans="1:9" ht="14.4" x14ac:dyDescent="0.3">
      <c r="A356" s="8"/>
      <c r="I356" s="7"/>
    </row>
    <row r="357" spans="1:9" ht="14.4" x14ac:dyDescent="0.3">
      <c r="A357" s="8"/>
      <c r="I357" s="7"/>
    </row>
    <row r="358" spans="1:9" ht="14.4" x14ac:dyDescent="0.3">
      <c r="A358" s="8"/>
      <c r="I358" s="7"/>
    </row>
    <row r="359" spans="1:9" ht="14.4" x14ac:dyDescent="0.3">
      <c r="A359" s="8"/>
      <c r="I359" s="7"/>
    </row>
    <row r="360" spans="1:9" ht="14.4" x14ac:dyDescent="0.3">
      <c r="A360" s="8"/>
      <c r="I360" s="7"/>
    </row>
    <row r="361" spans="1:9" ht="14.4" x14ac:dyDescent="0.3">
      <c r="A361" s="8"/>
      <c r="I361" s="7"/>
    </row>
    <row r="362" spans="1:9" ht="14.4" x14ac:dyDescent="0.3">
      <c r="A362" s="8"/>
      <c r="I362" s="7"/>
    </row>
    <row r="363" spans="1:9" ht="14.4" x14ac:dyDescent="0.3">
      <c r="A363" s="8"/>
      <c r="I363" s="7"/>
    </row>
    <row r="364" spans="1:9" ht="14.4" x14ac:dyDescent="0.3">
      <c r="A364" s="8"/>
      <c r="I364" s="7"/>
    </row>
    <row r="365" spans="1:9" ht="14.4" x14ac:dyDescent="0.3">
      <c r="A365" s="8"/>
      <c r="I365" s="7"/>
    </row>
    <row r="366" spans="1:9" ht="14.4" x14ac:dyDescent="0.3">
      <c r="A366" s="8"/>
      <c r="I366" s="7"/>
    </row>
    <row r="367" spans="1:9" ht="14.4" x14ac:dyDescent="0.3">
      <c r="A367" s="8"/>
      <c r="I367" s="7"/>
    </row>
    <row r="368" spans="1:9" ht="14.4" x14ac:dyDescent="0.3">
      <c r="A368" s="8"/>
      <c r="I368" s="7"/>
    </row>
    <row r="369" spans="1:9" ht="14.4" x14ac:dyDescent="0.3">
      <c r="A369" s="8"/>
      <c r="I369" s="7"/>
    </row>
    <row r="370" spans="1:9" ht="14.4" x14ac:dyDescent="0.3">
      <c r="A370" s="8"/>
      <c r="I370" s="7"/>
    </row>
    <row r="371" spans="1:9" ht="14.4" x14ac:dyDescent="0.3">
      <c r="A371" s="8"/>
      <c r="I371" s="7"/>
    </row>
    <row r="372" spans="1:9" ht="14.4" x14ac:dyDescent="0.3">
      <c r="A372" s="8"/>
      <c r="I372" s="7"/>
    </row>
    <row r="373" spans="1:9" ht="14.4" x14ac:dyDescent="0.3">
      <c r="A373" s="8"/>
      <c r="I373" s="7"/>
    </row>
    <row r="374" spans="1:9" ht="14.4" x14ac:dyDescent="0.3">
      <c r="A374" s="8"/>
      <c r="I374" s="7"/>
    </row>
    <row r="375" spans="1:9" ht="14.4" x14ac:dyDescent="0.3">
      <c r="A375" s="8"/>
      <c r="I375" s="7"/>
    </row>
    <row r="376" spans="1:9" ht="14.4" x14ac:dyDescent="0.3">
      <c r="A376" s="8"/>
      <c r="I376" s="7"/>
    </row>
    <row r="377" spans="1:9" ht="14.4" x14ac:dyDescent="0.3">
      <c r="A377" s="8"/>
      <c r="I377" s="7"/>
    </row>
    <row r="378" spans="1:9" ht="14.4" x14ac:dyDescent="0.3">
      <c r="A378" s="8"/>
      <c r="I378" s="7"/>
    </row>
    <row r="379" spans="1:9" ht="14.4" x14ac:dyDescent="0.3">
      <c r="A379" s="8"/>
      <c r="I379" s="7"/>
    </row>
    <row r="380" spans="1:9" ht="14.4" x14ac:dyDescent="0.3">
      <c r="A380" s="8"/>
      <c r="I380" s="7"/>
    </row>
    <row r="381" spans="1:9" ht="14.4" x14ac:dyDescent="0.3">
      <c r="A381" s="8"/>
      <c r="I381" s="7"/>
    </row>
    <row r="382" spans="1:9" ht="14.4" x14ac:dyDescent="0.3">
      <c r="A382" s="8"/>
      <c r="I382" s="7"/>
    </row>
    <row r="383" spans="1:9" ht="14.4" x14ac:dyDescent="0.3">
      <c r="A383" s="8"/>
      <c r="I383" s="7"/>
    </row>
    <row r="384" spans="1:9" ht="14.4" x14ac:dyDescent="0.3">
      <c r="A384" s="8"/>
      <c r="I384" s="7"/>
    </row>
    <row r="385" spans="1:9" ht="14.4" x14ac:dyDescent="0.3">
      <c r="A385" s="8"/>
      <c r="I385" s="7"/>
    </row>
    <row r="386" spans="1:9" ht="14.4" x14ac:dyDescent="0.3">
      <c r="A386" s="8"/>
      <c r="I386" s="7"/>
    </row>
    <row r="387" spans="1:9" ht="14.4" x14ac:dyDescent="0.3">
      <c r="A387" s="8"/>
      <c r="I387" s="7"/>
    </row>
    <row r="388" spans="1:9" ht="14.4" x14ac:dyDescent="0.3">
      <c r="A388" s="8"/>
      <c r="I388" s="7"/>
    </row>
    <row r="389" spans="1:9" ht="14.4" x14ac:dyDescent="0.3">
      <c r="A389" s="8"/>
      <c r="I389" s="7"/>
    </row>
    <row r="390" spans="1:9" ht="14.4" x14ac:dyDescent="0.3">
      <c r="A390" s="8"/>
      <c r="I390" s="7"/>
    </row>
    <row r="391" spans="1:9" ht="14.4" x14ac:dyDescent="0.3">
      <c r="A391" s="8"/>
      <c r="I391" s="7"/>
    </row>
    <row r="392" spans="1:9" ht="14.4" x14ac:dyDescent="0.3">
      <c r="A392" s="8"/>
      <c r="I392" s="7"/>
    </row>
    <row r="393" spans="1:9" ht="14.4" x14ac:dyDescent="0.3">
      <c r="A393" s="8"/>
      <c r="I393" s="7"/>
    </row>
    <row r="394" spans="1:9" ht="14.4" x14ac:dyDescent="0.3">
      <c r="A394" s="8"/>
      <c r="I394" s="7"/>
    </row>
    <row r="395" spans="1:9" ht="14.4" x14ac:dyDescent="0.3">
      <c r="A395" s="8"/>
      <c r="I395" s="7"/>
    </row>
    <row r="396" spans="1:9" ht="14.4" x14ac:dyDescent="0.3">
      <c r="A396" s="8"/>
      <c r="I396" s="7"/>
    </row>
    <row r="397" spans="1:9" ht="14.4" x14ac:dyDescent="0.3">
      <c r="A397" s="8"/>
      <c r="I397" s="7"/>
    </row>
    <row r="398" spans="1:9" ht="14.4" x14ac:dyDescent="0.3">
      <c r="A398" s="8"/>
      <c r="I398" s="7"/>
    </row>
    <row r="399" spans="1:9" ht="14.4" x14ac:dyDescent="0.3">
      <c r="A399" s="8"/>
      <c r="I399" s="7"/>
    </row>
    <row r="400" spans="1:9" ht="14.4" x14ac:dyDescent="0.3">
      <c r="A400" s="8"/>
      <c r="I400" s="7"/>
    </row>
    <row r="401" spans="1:9" ht="14.4" x14ac:dyDescent="0.3">
      <c r="A401" s="8"/>
      <c r="I401" s="7"/>
    </row>
    <row r="402" spans="1:9" ht="14.4" x14ac:dyDescent="0.3">
      <c r="A402" s="8"/>
      <c r="I402" s="7"/>
    </row>
    <row r="403" spans="1:9" ht="14.4" x14ac:dyDescent="0.3">
      <c r="A403" s="8"/>
      <c r="I403" s="7"/>
    </row>
    <row r="404" spans="1:9" ht="14.4" x14ac:dyDescent="0.3">
      <c r="A404" s="8"/>
      <c r="I404" s="7"/>
    </row>
    <row r="405" spans="1:9" ht="14.4" x14ac:dyDescent="0.3">
      <c r="A405" s="8"/>
      <c r="I405" s="7"/>
    </row>
    <row r="406" spans="1:9" ht="14.4" x14ac:dyDescent="0.3">
      <c r="A406" s="8"/>
      <c r="I406" s="7"/>
    </row>
    <row r="407" spans="1:9" ht="14.4" x14ac:dyDescent="0.3">
      <c r="A407" s="8"/>
      <c r="I407" s="7"/>
    </row>
    <row r="408" spans="1:9" ht="14.4" x14ac:dyDescent="0.3">
      <c r="A408" s="8"/>
      <c r="I408" s="7"/>
    </row>
    <row r="409" spans="1:9" ht="14.4" x14ac:dyDescent="0.3">
      <c r="A409" s="8"/>
      <c r="I409" s="7"/>
    </row>
    <row r="410" spans="1:9" ht="14.4" x14ac:dyDescent="0.3">
      <c r="A410" s="8"/>
      <c r="I410" s="7"/>
    </row>
    <row r="411" spans="1:9" ht="14.4" x14ac:dyDescent="0.3">
      <c r="A411" s="8"/>
      <c r="I411" s="7"/>
    </row>
    <row r="412" spans="1:9" ht="14.4" x14ac:dyDescent="0.3">
      <c r="A412" s="8"/>
      <c r="I412" s="7"/>
    </row>
    <row r="413" spans="1:9" ht="14.4" x14ac:dyDescent="0.3">
      <c r="A413" s="8"/>
      <c r="I413" s="7"/>
    </row>
    <row r="414" spans="1:9" ht="14.4" x14ac:dyDescent="0.3">
      <c r="A414" s="8"/>
      <c r="I414" s="7"/>
    </row>
    <row r="415" spans="1:9" ht="14.4" x14ac:dyDescent="0.3">
      <c r="A415" s="8"/>
      <c r="I415" s="7"/>
    </row>
    <row r="416" spans="1:9" ht="14.4" x14ac:dyDescent="0.3">
      <c r="A416" s="8"/>
      <c r="I416" s="7"/>
    </row>
    <row r="417" spans="1:9" ht="14.4" x14ac:dyDescent="0.3">
      <c r="A417" s="8"/>
      <c r="I417" s="7"/>
    </row>
    <row r="418" spans="1:9" ht="14.4" x14ac:dyDescent="0.3">
      <c r="A418" s="8"/>
      <c r="I418" s="7"/>
    </row>
    <row r="419" spans="1:9" ht="14.4" x14ac:dyDescent="0.3">
      <c r="A419" s="8"/>
      <c r="I419" s="7"/>
    </row>
    <row r="420" spans="1:9" ht="14.4" x14ac:dyDescent="0.3">
      <c r="A420" s="8"/>
      <c r="I420" s="7"/>
    </row>
    <row r="421" spans="1:9" ht="14.4" x14ac:dyDescent="0.3">
      <c r="A421" s="8"/>
      <c r="I421" s="7"/>
    </row>
    <row r="422" spans="1:9" ht="14.4" x14ac:dyDescent="0.3">
      <c r="A422" s="8"/>
      <c r="I422" s="7"/>
    </row>
    <row r="423" spans="1:9" ht="14.4" x14ac:dyDescent="0.3">
      <c r="A423" s="8"/>
      <c r="I423" s="7"/>
    </row>
    <row r="424" spans="1:9" ht="14.4" x14ac:dyDescent="0.3">
      <c r="A424" s="8"/>
      <c r="I424" s="7"/>
    </row>
    <row r="425" spans="1:9" ht="14.4" x14ac:dyDescent="0.3">
      <c r="A425" s="8"/>
      <c r="I425" s="7"/>
    </row>
    <row r="426" spans="1:9" ht="14.4" x14ac:dyDescent="0.3">
      <c r="A426" s="8"/>
      <c r="I426" s="7"/>
    </row>
    <row r="427" spans="1:9" ht="14.4" x14ac:dyDescent="0.3">
      <c r="A427" s="8"/>
      <c r="I427" s="7"/>
    </row>
    <row r="428" spans="1:9" ht="14.4" x14ac:dyDescent="0.3">
      <c r="A428" s="8"/>
      <c r="I428" s="7"/>
    </row>
    <row r="429" spans="1:9" ht="14.4" x14ac:dyDescent="0.3">
      <c r="A429" s="8"/>
      <c r="I429" s="7"/>
    </row>
    <row r="430" spans="1:9" ht="14.4" x14ac:dyDescent="0.3">
      <c r="A430" s="8"/>
      <c r="I430" s="7"/>
    </row>
    <row r="431" spans="1:9" ht="14.4" x14ac:dyDescent="0.3">
      <c r="A431" s="8"/>
      <c r="I431" s="7"/>
    </row>
    <row r="432" spans="1:9" ht="14.4" x14ac:dyDescent="0.3">
      <c r="A432" s="8"/>
      <c r="I432" s="7"/>
    </row>
    <row r="433" spans="1:9" ht="14.4" x14ac:dyDescent="0.3">
      <c r="A433" s="8"/>
      <c r="I433" s="7"/>
    </row>
    <row r="434" spans="1:9" ht="14.4" x14ac:dyDescent="0.3">
      <c r="A434" s="8"/>
      <c r="I434" s="7"/>
    </row>
    <row r="435" spans="1:9" ht="14.4" x14ac:dyDescent="0.3">
      <c r="A435" s="8"/>
      <c r="I435" s="7"/>
    </row>
    <row r="436" spans="1:9" ht="14.4" x14ac:dyDescent="0.3">
      <c r="A436" s="8"/>
      <c r="I436" s="7"/>
    </row>
    <row r="437" spans="1:9" ht="14.4" x14ac:dyDescent="0.3">
      <c r="A437" s="8"/>
      <c r="I437" s="7"/>
    </row>
    <row r="438" spans="1:9" ht="14.4" x14ac:dyDescent="0.3">
      <c r="A438" s="8"/>
      <c r="I438" s="7"/>
    </row>
    <row r="439" spans="1:9" ht="14.4" x14ac:dyDescent="0.3">
      <c r="A439" s="8"/>
      <c r="I439" s="7"/>
    </row>
    <row r="440" spans="1:9" ht="14.4" x14ac:dyDescent="0.3">
      <c r="A440" s="8"/>
      <c r="I440" s="7"/>
    </row>
    <row r="441" spans="1:9" ht="14.4" x14ac:dyDescent="0.3">
      <c r="A441" s="8"/>
      <c r="I441" s="7"/>
    </row>
    <row r="442" spans="1:9" ht="14.4" x14ac:dyDescent="0.3">
      <c r="A442" s="8"/>
      <c r="I442" s="7"/>
    </row>
    <row r="443" spans="1:9" ht="14.4" x14ac:dyDescent="0.3">
      <c r="A443" s="8"/>
      <c r="I443" s="7"/>
    </row>
    <row r="444" spans="1:9" ht="14.4" x14ac:dyDescent="0.3">
      <c r="A444" s="8"/>
      <c r="I444" s="7"/>
    </row>
    <row r="445" spans="1:9" ht="14.4" x14ac:dyDescent="0.3">
      <c r="A445" s="8"/>
      <c r="I445" s="7"/>
    </row>
    <row r="446" spans="1:9" ht="14.4" x14ac:dyDescent="0.3">
      <c r="A446" s="8"/>
      <c r="I446" s="7"/>
    </row>
    <row r="447" spans="1:9" ht="14.4" x14ac:dyDescent="0.3">
      <c r="A447" s="8"/>
      <c r="I447" s="7"/>
    </row>
    <row r="448" spans="1:9" ht="14.4" x14ac:dyDescent="0.3">
      <c r="A448" s="8"/>
      <c r="I448" s="7"/>
    </row>
    <row r="449" spans="1:9" ht="14.4" x14ac:dyDescent="0.3">
      <c r="A449" s="8"/>
      <c r="I449" s="7"/>
    </row>
    <row r="450" spans="1:9" ht="14.4" x14ac:dyDescent="0.3">
      <c r="A450" s="8"/>
      <c r="I450" s="7"/>
    </row>
    <row r="451" spans="1:9" ht="14.4" x14ac:dyDescent="0.3">
      <c r="A451" s="8"/>
      <c r="I451" s="7"/>
    </row>
    <row r="452" spans="1:9" ht="14.4" x14ac:dyDescent="0.3">
      <c r="A452" s="8"/>
      <c r="I452" s="7"/>
    </row>
    <row r="453" spans="1:9" ht="14.4" x14ac:dyDescent="0.3">
      <c r="A453" s="8"/>
      <c r="I453" s="7"/>
    </row>
    <row r="454" spans="1:9" ht="14.4" x14ac:dyDescent="0.3">
      <c r="A454" s="8"/>
      <c r="I454" s="7"/>
    </row>
    <row r="455" spans="1:9" ht="14.4" x14ac:dyDescent="0.3">
      <c r="A455" s="8"/>
      <c r="I455" s="7"/>
    </row>
    <row r="456" spans="1:9" ht="14.4" x14ac:dyDescent="0.3">
      <c r="A456" s="8"/>
      <c r="I456" s="7"/>
    </row>
    <row r="457" spans="1:9" ht="14.4" x14ac:dyDescent="0.3">
      <c r="A457" s="8"/>
      <c r="I457" s="7"/>
    </row>
    <row r="458" spans="1:9" ht="14.4" x14ac:dyDescent="0.3">
      <c r="A458" s="8"/>
      <c r="I458" s="7"/>
    </row>
    <row r="459" spans="1:9" ht="14.4" x14ac:dyDescent="0.3">
      <c r="A459" s="8"/>
      <c r="I459" s="7"/>
    </row>
    <row r="460" spans="1:9" ht="14.4" x14ac:dyDescent="0.3">
      <c r="A460" s="8"/>
      <c r="I460" s="7"/>
    </row>
    <row r="461" spans="1:9" ht="14.4" x14ac:dyDescent="0.3">
      <c r="A461" s="8"/>
      <c r="I461" s="7"/>
    </row>
    <row r="462" spans="1:9" ht="14.4" x14ac:dyDescent="0.3">
      <c r="A462" s="8"/>
      <c r="I462" s="7"/>
    </row>
    <row r="463" spans="1:9" ht="14.4" x14ac:dyDescent="0.3">
      <c r="A463" s="8"/>
      <c r="I463" s="7"/>
    </row>
    <row r="464" spans="1:9" ht="14.4" x14ac:dyDescent="0.3">
      <c r="A464" s="8"/>
      <c r="I464" s="7"/>
    </row>
    <row r="465" spans="1:9" ht="14.4" x14ac:dyDescent="0.3">
      <c r="A465" s="8"/>
      <c r="I465" s="7"/>
    </row>
    <row r="466" spans="1:9" ht="14.4" x14ac:dyDescent="0.3">
      <c r="A466" s="8"/>
      <c r="I466" s="7"/>
    </row>
    <row r="467" spans="1:9" ht="14.4" x14ac:dyDescent="0.3">
      <c r="A467" s="8"/>
      <c r="I467" s="7"/>
    </row>
    <row r="468" spans="1:9" ht="14.4" x14ac:dyDescent="0.3">
      <c r="A468" s="8"/>
      <c r="I468" s="7"/>
    </row>
    <row r="469" spans="1:9" ht="14.4" x14ac:dyDescent="0.3">
      <c r="A469" s="8"/>
      <c r="I469" s="7"/>
    </row>
    <row r="470" spans="1:9" ht="14.4" x14ac:dyDescent="0.3">
      <c r="A470" s="8"/>
      <c r="I470" s="7"/>
    </row>
    <row r="471" spans="1:9" ht="14.4" x14ac:dyDescent="0.3">
      <c r="A471" s="8"/>
      <c r="I471" s="7"/>
    </row>
    <row r="472" spans="1:9" ht="14.4" x14ac:dyDescent="0.3">
      <c r="A472" s="8"/>
      <c r="I472" s="7"/>
    </row>
    <row r="473" spans="1:9" ht="14.4" x14ac:dyDescent="0.3">
      <c r="A473" s="8"/>
      <c r="I473" s="7"/>
    </row>
    <row r="474" spans="1:9" ht="14.4" x14ac:dyDescent="0.3">
      <c r="A474" s="8"/>
      <c r="I474" s="7"/>
    </row>
    <row r="475" spans="1:9" ht="14.4" x14ac:dyDescent="0.3">
      <c r="A475" s="8"/>
      <c r="I475" s="7"/>
    </row>
    <row r="476" spans="1:9" ht="14.4" x14ac:dyDescent="0.3">
      <c r="A476" s="8"/>
      <c r="I476" s="7"/>
    </row>
    <row r="477" spans="1:9" ht="14.4" x14ac:dyDescent="0.3">
      <c r="A477" s="8"/>
      <c r="I477" s="7"/>
    </row>
    <row r="478" spans="1:9" ht="14.4" x14ac:dyDescent="0.3">
      <c r="A478" s="8"/>
      <c r="I478" s="7"/>
    </row>
    <row r="479" spans="1:9" ht="14.4" x14ac:dyDescent="0.3">
      <c r="A479" s="8"/>
      <c r="I479" s="7"/>
    </row>
    <row r="480" spans="1:9" ht="14.4" x14ac:dyDescent="0.3">
      <c r="A480" s="8"/>
      <c r="I480" s="7"/>
    </row>
    <row r="481" spans="1:9" ht="14.4" x14ac:dyDescent="0.3">
      <c r="A481" s="8"/>
      <c r="I481" s="7"/>
    </row>
    <row r="482" spans="1:9" ht="14.4" x14ac:dyDescent="0.3">
      <c r="A482" s="8"/>
      <c r="I482" s="7"/>
    </row>
    <row r="483" spans="1:9" ht="14.4" x14ac:dyDescent="0.3">
      <c r="A483" s="8"/>
      <c r="I483" s="7"/>
    </row>
    <row r="484" spans="1:9" ht="14.4" x14ac:dyDescent="0.3">
      <c r="A484" s="8"/>
      <c r="I484" s="7"/>
    </row>
    <row r="485" spans="1:9" ht="14.4" x14ac:dyDescent="0.3">
      <c r="A485" s="8"/>
      <c r="I485" s="7"/>
    </row>
    <row r="486" spans="1:9" ht="14.4" x14ac:dyDescent="0.3">
      <c r="A486" s="8"/>
      <c r="I486" s="7"/>
    </row>
    <row r="487" spans="1:9" ht="14.4" x14ac:dyDescent="0.3">
      <c r="A487" s="8"/>
      <c r="I487" s="7"/>
    </row>
    <row r="488" spans="1:9" ht="14.4" x14ac:dyDescent="0.3">
      <c r="A488" s="8"/>
      <c r="I488" s="7"/>
    </row>
    <row r="489" spans="1:9" ht="14.4" x14ac:dyDescent="0.3">
      <c r="A489" s="8"/>
      <c r="I489" s="7"/>
    </row>
    <row r="490" spans="1:9" ht="14.4" x14ac:dyDescent="0.3">
      <c r="A490" s="8"/>
      <c r="I490" s="7"/>
    </row>
    <row r="491" spans="1:9" ht="14.4" x14ac:dyDescent="0.3">
      <c r="A491" s="8"/>
      <c r="I491" s="7"/>
    </row>
    <row r="492" spans="1:9" ht="14.4" x14ac:dyDescent="0.3">
      <c r="A492" s="8"/>
      <c r="I492" s="7"/>
    </row>
    <row r="493" spans="1:9" ht="14.4" x14ac:dyDescent="0.3">
      <c r="A493" s="8"/>
      <c r="I493" s="7"/>
    </row>
    <row r="494" spans="1:9" ht="14.4" x14ac:dyDescent="0.3">
      <c r="A494" s="8"/>
      <c r="I494" s="7"/>
    </row>
    <row r="495" spans="1:9" ht="14.4" x14ac:dyDescent="0.3">
      <c r="A495" s="8"/>
      <c r="I495" s="7"/>
    </row>
    <row r="496" spans="1:9" ht="14.4" x14ac:dyDescent="0.3">
      <c r="A496" s="8"/>
      <c r="I496" s="7"/>
    </row>
    <row r="497" spans="1:9" ht="14.4" x14ac:dyDescent="0.3">
      <c r="A497" s="8"/>
      <c r="I497" s="7"/>
    </row>
    <row r="498" spans="1:9" ht="14.4" x14ac:dyDescent="0.3">
      <c r="A498" s="8"/>
      <c r="I498" s="7"/>
    </row>
    <row r="499" spans="1:9" ht="14.4" x14ac:dyDescent="0.3">
      <c r="A499" s="8"/>
      <c r="I499" s="7"/>
    </row>
    <row r="500" spans="1:9" ht="14.4" x14ac:dyDescent="0.3">
      <c r="A500" s="8"/>
      <c r="I500" s="7"/>
    </row>
    <row r="501" spans="1:9" ht="14.4" x14ac:dyDescent="0.3">
      <c r="A501" s="8"/>
      <c r="I501" s="7"/>
    </row>
    <row r="502" spans="1:9" ht="14.4" x14ac:dyDescent="0.3">
      <c r="A502" s="8"/>
      <c r="I502" s="7"/>
    </row>
    <row r="503" spans="1:9" ht="14.4" x14ac:dyDescent="0.3">
      <c r="A503" s="8"/>
      <c r="I503" s="7"/>
    </row>
    <row r="504" spans="1:9" ht="14.4" x14ac:dyDescent="0.3">
      <c r="A504" s="8"/>
      <c r="I504" s="7"/>
    </row>
    <row r="505" spans="1:9" ht="14.4" x14ac:dyDescent="0.3">
      <c r="A505" s="8"/>
      <c r="I505" s="7"/>
    </row>
    <row r="506" spans="1:9" ht="14.4" x14ac:dyDescent="0.3">
      <c r="A506" s="8"/>
      <c r="I506" s="7"/>
    </row>
    <row r="507" spans="1:9" ht="14.4" x14ac:dyDescent="0.3">
      <c r="A507" s="8"/>
      <c r="I507" s="7"/>
    </row>
    <row r="508" spans="1:9" ht="14.4" x14ac:dyDescent="0.3">
      <c r="A508" s="8"/>
      <c r="I508" s="7"/>
    </row>
    <row r="509" spans="1:9" ht="14.4" x14ac:dyDescent="0.3">
      <c r="A509" s="8"/>
      <c r="I509" s="7"/>
    </row>
    <row r="510" spans="1:9" ht="14.4" x14ac:dyDescent="0.3">
      <c r="A510" s="8"/>
      <c r="I510" s="7"/>
    </row>
    <row r="511" spans="1:9" ht="14.4" x14ac:dyDescent="0.3">
      <c r="A511" s="8"/>
      <c r="I511" s="7"/>
    </row>
    <row r="512" spans="1:9" ht="14.4" x14ac:dyDescent="0.3">
      <c r="A512" s="8"/>
      <c r="I512" s="7"/>
    </row>
    <row r="513" spans="1:9" ht="14.4" x14ac:dyDescent="0.3">
      <c r="A513" s="8"/>
      <c r="I513" s="7"/>
    </row>
    <row r="514" spans="1:9" ht="14.4" x14ac:dyDescent="0.3">
      <c r="A514" s="8"/>
      <c r="I514" s="7"/>
    </row>
    <row r="515" spans="1:9" ht="14.4" x14ac:dyDescent="0.3">
      <c r="A515" s="8"/>
      <c r="I515" s="7"/>
    </row>
    <row r="516" spans="1:9" ht="14.4" x14ac:dyDescent="0.3">
      <c r="A516" s="8"/>
      <c r="I516" s="7"/>
    </row>
    <row r="517" spans="1:9" ht="14.4" x14ac:dyDescent="0.3">
      <c r="A517" s="8"/>
      <c r="I517" s="7"/>
    </row>
    <row r="518" spans="1:9" ht="14.4" x14ac:dyDescent="0.3">
      <c r="A518" s="8"/>
      <c r="I518" s="7"/>
    </row>
    <row r="519" spans="1:9" ht="14.4" x14ac:dyDescent="0.3">
      <c r="A519" s="8"/>
      <c r="I519" s="7"/>
    </row>
    <row r="520" spans="1:9" ht="14.4" x14ac:dyDescent="0.3">
      <c r="A520" s="8"/>
      <c r="I520" s="7"/>
    </row>
    <row r="521" spans="1:9" ht="14.4" x14ac:dyDescent="0.3">
      <c r="A521" s="8"/>
      <c r="I521" s="7"/>
    </row>
    <row r="522" spans="1:9" ht="14.4" x14ac:dyDescent="0.3">
      <c r="A522" s="8"/>
      <c r="I522" s="7"/>
    </row>
    <row r="523" spans="1:9" ht="14.4" x14ac:dyDescent="0.3">
      <c r="A523" s="8"/>
      <c r="I523" s="7"/>
    </row>
    <row r="524" spans="1:9" ht="14.4" x14ac:dyDescent="0.3">
      <c r="A524" s="8"/>
      <c r="I524" s="7"/>
    </row>
    <row r="525" spans="1:9" ht="14.4" x14ac:dyDescent="0.3">
      <c r="A525" s="8"/>
      <c r="I525" s="7"/>
    </row>
    <row r="526" spans="1:9" ht="14.4" x14ac:dyDescent="0.3">
      <c r="A526" s="8"/>
      <c r="I526" s="7"/>
    </row>
    <row r="527" spans="1:9" ht="14.4" x14ac:dyDescent="0.3">
      <c r="A527" s="8"/>
      <c r="I527" s="7"/>
    </row>
    <row r="528" spans="1:9" ht="14.4" x14ac:dyDescent="0.3">
      <c r="A528" s="8"/>
      <c r="I528" s="7"/>
    </row>
    <row r="529" spans="1:9" ht="14.4" x14ac:dyDescent="0.3">
      <c r="A529" s="8"/>
      <c r="I529" s="7"/>
    </row>
    <row r="530" spans="1:9" ht="14.4" x14ac:dyDescent="0.3">
      <c r="A530" s="8"/>
      <c r="I530" s="7"/>
    </row>
    <row r="531" spans="1:9" ht="14.4" x14ac:dyDescent="0.3">
      <c r="A531" s="8"/>
      <c r="I531" s="7"/>
    </row>
    <row r="532" spans="1:9" ht="14.4" x14ac:dyDescent="0.3">
      <c r="A532" s="8"/>
      <c r="I532" s="7"/>
    </row>
    <row r="533" spans="1:9" ht="14.4" x14ac:dyDescent="0.3">
      <c r="A533" s="8"/>
      <c r="I533" s="7"/>
    </row>
    <row r="534" spans="1:9" ht="14.4" x14ac:dyDescent="0.3">
      <c r="A534" s="8"/>
      <c r="I534" s="7"/>
    </row>
    <row r="535" spans="1:9" ht="14.4" x14ac:dyDescent="0.3">
      <c r="A535" s="8"/>
      <c r="I535" s="7"/>
    </row>
    <row r="536" spans="1:9" ht="14.4" x14ac:dyDescent="0.3">
      <c r="A536" s="8"/>
      <c r="I536" s="7"/>
    </row>
    <row r="537" spans="1:9" ht="14.4" x14ac:dyDescent="0.3">
      <c r="A537" s="8"/>
      <c r="I537" s="7"/>
    </row>
    <row r="538" spans="1:9" ht="14.4" x14ac:dyDescent="0.3">
      <c r="A538" s="8"/>
      <c r="I538" s="7"/>
    </row>
    <row r="539" spans="1:9" ht="14.4" x14ac:dyDescent="0.3">
      <c r="A539" s="8"/>
      <c r="I539" s="7"/>
    </row>
    <row r="540" spans="1:9" ht="14.4" x14ac:dyDescent="0.3">
      <c r="A540" s="8"/>
      <c r="I540" s="7"/>
    </row>
    <row r="541" spans="1:9" ht="14.4" x14ac:dyDescent="0.3">
      <c r="A541" s="8"/>
      <c r="I541" s="7"/>
    </row>
    <row r="542" spans="1:9" ht="14.4" x14ac:dyDescent="0.3">
      <c r="A542" s="8"/>
      <c r="I542" s="7"/>
    </row>
    <row r="543" spans="1:9" ht="14.4" x14ac:dyDescent="0.3">
      <c r="A543" s="8"/>
      <c r="I543" s="7"/>
    </row>
    <row r="544" spans="1:9" ht="14.4" x14ac:dyDescent="0.3">
      <c r="A544" s="8"/>
      <c r="I544" s="7"/>
    </row>
    <row r="545" spans="1:9" ht="14.4" x14ac:dyDescent="0.3">
      <c r="A545" s="8"/>
      <c r="I545" s="7"/>
    </row>
    <row r="546" spans="1:9" ht="14.4" x14ac:dyDescent="0.3">
      <c r="A546" s="8"/>
      <c r="I546" s="7"/>
    </row>
    <row r="547" spans="1:9" ht="14.4" x14ac:dyDescent="0.3">
      <c r="A547" s="8"/>
      <c r="I547" s="7"/>
    </row>
    <row r="548" spans="1:9" ht="14.4" x14ac:dyDescent="0.3">
      <c r="A548" s="8"/>
      <c r="I548" s="7"/>
    </row>
    <row r="549" spans="1:9" ht="14.4" x14ac:dyDescent="0.3">
      <c r="A549" s="8"/>
      <c r="I549" s="7"/>
    </row>
    <row r="550" spans="1:9" ht="14.4" x14ac:dyDescent="0.3">
      <c r="A550" s="8"/>
      <c r="I550" s="7"/>
    </row>
    <row r="551" spans="1:9" ht="14.4" x14ac:dyDescent="0.3">
      <c r="A551" s="8"/>
      <c r="I551" s="7"/>
    </row>
    <row r="552" spans="1:9" ht="14.4" x14ac:dyDescent="0.3">
      <c r="A552" s="8"/>
      <c r="I552" s="7"/>
    </row>
    <row r="553" spans="1:9" ht="14.4" x14ac:dyDescent="0.3">
      <c r="A553" s="8"/>
      <c r="I553" s="7"/>
    </row>
    <row r="554" spans="1:9" ht="14.4" x14ac:dyDescent="0.3">
      <c r="A554" s="8"/>
      <c r="I554" s="7"/>
    </row>
    <row r="555" spans="1:9" ht="14.4" x14ac:dyDescent="0.3">
      <c r="A555" s="8"/>
      <c r="I555" s="7"/>
    </row>
    <row r="556" spans="1:9" ht="14.4" x14ac:dyDescent="0.3">
      <c r="A556" s="8"/>
      <c r="I556" s="7"/>
    </row>
    <row r="557" spans="1:9" ht="14.4" x14ac:dyDescent="0.3">
      <c r="A557" s="8"/>
      <c r="I557" s="7"/>
    </row>
    <row r="558" spans="1:9" ht="14.4" x14ac:dyDescent="0.3">
      <c r="A558" s="8"/>
      <c r="I558" s="7"/>
    </row>
    <row r="559" spans="1:9" ht="14.4" x14ac:dyDescent="0.3">
      <c r="A559" s="8"/>
      <c r="I559" s="7"/>
    </row>
    <row r="560" spans="1:9" ht="14.4" x14ac:dyDescent="0.3">
      <c r="A560" s="8"/>
      <c r="I560" s="7"/>
    </row>
    <row r="561" spans="1:9" ht="14.4" x14ac:dyDescent="0.3">
      <c r="A561" s="8"/>
      <c r="I561" s="7"/>
    </row>
    <row r="562" spans="1:9" ht="14.4" x14ac:dyDescent="0.3">
      <c r="A562" s="8"/>
      <c r="I562" s="7"/>
    </row>
    <row r="563" spans="1:9" ht="14.4" x14ac:dyDescent="0.3">
      <c r="A563" s="8"/>
      <c r="I563" s="7"/>
    </row>
    <row r="564" spans="1:9" ht="14.4" x14ac:dyDescent="0.3">
      <c r="A564" s="8"/>
      <c r="I564" s="7"/>
    </row>
    <row r="565" spans="1:9" ht="14.4" x14ac:dyDescent="0.3">
      <c r="A565" s="8"/>
      <c r="I565" s="7"/>
    </row>
    <row r="566" spans="1:9" ht="14.4" x14ac:dyDescent="0.3">
      <c r="A566" s="8"/>
      <c r="I566" s="7"/>
    </row>
    <row r="567" spans="1:9" ht="14.4" x14ac:dyDescent="0.3">
      <c r="A567" s="8"/>
      <c r="I567" s="7"/>
    </row>
    <row r="568" spans="1:9" ht="14.4" x14ac:dyDescent="0.3">
      <c r="A568" s="8"/>
      <c r="I568" s="7"/>
    </row>
    <row r="569" spans="1:9" ht="14.4" x14ac:dyDescent="0.3">
      <c r="A569" s="8"/>
      <c r="I569" s="7"/>
    </row>
    <row r="570" spans="1:9" ht="14.4" x14ac:dyDescent="0.3">
      <c r="A570" s="8"/>
      <c r="I570" s="7"/>
    </row>
    <row r="571" spans="1:9" ht="14.4" x14ac:dyDescent="0.3">
      <c r="A571" s="8"/>
      <c r="I571" s="7"/>
    </row>
    <row r="572" spans="1:9" ht="14.4" x14ac:dyDescent="0.3">
      <c r="A572" s="8"/>
      <c r="I572" s="7"/>
    </row>
    <row r="573" spans="1:9" ht="14.4" x14ac:dyDescent="0.3">
      <c r="A573" s="8"/>
      <c r="I573" s="7"/>
    </row>
    <row r="574" spans="1:9" ht="14.4" x14ac:dyDescent="0.3">
      <c r="A574" s="8"/>
      <c r="I574" s="7"/>
    </row>
    <row r="575" spans="1:9" ht="14.4" x14ac:dyDescent="0.3">
      <c r="A575" s="8"/>
      <c r="I575" s="7"/>
    </row>
    <row r="576" spans="1:9" ht="14.4" x14ac:dyDescent="0.3">
      <c r="A576" s="8"/>
      <c r="I576" s="7"/>
    </row>
    <row r="577" spans="1:9" ht="14.4" x14ac:dyDescent="0.3">
      <c r="A577" s="8"/>
      <c r="I577" s="7"/>
    </row>
    <row r="578" spans="1:9" ht="14.4" x14ac:dyDescent="0.3">
      <c r="A578" s="8"/>
      <c r="I578" s="7"/>
    </row>
    <row r="579" spans="1:9" ht="14.4" x14ac:dyDescent="0.3">
      <c r="A579" s="8"/>
      <c r="I579" s="7"/>
    </row>
    <row r="580" spans="1:9" ht="14.4" x14ac:dyDescent="0.3">
      <c r="A580" s="8"/>
      <c r="I580" s="7"/>
    </row>
    <row r="581" spans="1:9" ht="14.4" x14ac:dyDescent="0.3">
      <c r="A581" s="8"/>
      <c r="I581" s="7"/>
    </row>
    <row r="582" spans="1:9" ht="14.4" x14ac:dyDescent="0.3">
      <c r="A582" s="8"/>
      <c r="I582" s="7"/>
    </row>
    <row r="583" spans="1:9" ht="14.4" x14ac:dyDescent="0.3">
      <c r="A583" s="8"/>
      <c r="I583" s="7"/>
    </row>
    <row r="584" spans="1:9" ht="14.4" x14ac:dyDescent="0.3">
      <c r="A584" s="8"/>
      <c r="I584" s="7"/>
    </row>
    <row r="585" spans="1:9" ht="14.4" x14ac:dyDescent="0.3">
      <c r="A585" s="8"/>
      <c r="I585" s="7"/>
    </row>
    <row r="586" spans="1:9" ht="14.4" x14ac:dyDescent="0.3">
      <c r="A586" s="8"/>
      <c r="I586" s="7"/>
    </row>
    <row r="587" spans="1:9" ht="14.4" x14ac:dyDescent="0.3">
      <c r="A587" s="8"/>
      <c r="I587" s="7"/>
    </row>
    <row r="588" spans="1:9" ht="14.4" x14ac:dyDescent="0.3">
      <c r="A588" s="8"/>
      <c r="I588" s="7"/>
    </row>
    <row r="589" spans="1:9" ht="14.4" x14ac:dyDescent="0.3">
      <c r="A589" s="8"/>
      <c r="I589" s="7"/>
    </row>
    <row r="590" spans="1:9" ht="14.4" x14ac:dyDescent="0.3">
      <c r="A590" s="8"/>
      <c r="I590" s="7"/>
    </row>
    <row r="591" spans="1:9" ht="14.4" x14ac:dyDescent="0.3">
      <c r="A591" s="8"/>
      <c r="I591" s="7"/>
    </row>
    <row r="592" spans="1:9" ht="14.4" x14ac:dyDescent="0.3">
      <c r="A592" s="8"/>
      <c r="I592" s="7"/>
    </row>
    <row r="593" spans="1:9" ht="14.4" x14ac:dyDescent="0.3">
      <c r="A593" s="8"/>
      <c r="I593" s="7"/>
    </row>
    <row r="594" spans="1:9" ht="14.4" x14ac:dyDescent="0.3">
      <c r="A594" s="8"/>
      <c r="I594" s="7"/>
    </row>
    <row r="595" spans="1:9" ht="14.4" x14ac:dyDescent="0.3">
      <c r="A595" s="8"/>
      <c r="I595" s="7"/>
    </row>
    <row r="596" spans="1:9" ht="14.4" x14ac:dyDescent="0.3">
      <c r="A596" s="8"/>
      <c r="I596" s="7"/>
    </row>
    <row r="597" spans="1:9" ht="14.4" x14ac:dyDescent="0.3">
      <c r="A597" s="8"/>
      <c r="I597" s="7"/>
    </row>
    <row r="598" spans="1:9" ht="14.4" x14ac:dyDescent="0.3">
      <c r="A598" s="8"/>
      <c r="I598" s="7"/>
    </row>
    <row r="599" spans="1:9" ht="14.4" x14ac:dyDescent="0.3">
      <c r="A599" s="8"/>
      <c r="I599" s="7"/>
    </row>
    <row r="600" spans="1:9" ht="14.4" x14ac:dyDescent="0.3">
      <c r="A600" s="8"/>
      <c r="I600" s="7"/>
    </row>
    <row r="601" spans="1:9" ht="14.4" x14ac:dyDescent="0.3">
      <c r="A601" s="8"/>
      <c r="I601" s="7"/>
    </row>
    <row r="602" spans="1:9" ht="14.4" x14ac:dyDescent="0.3">
      <c r="A602" s="8"/>
      <c r="I602" s="7"/>
    </row>
    <row r="603" spans="1:9" ht="14.4" x14ac:dyDescent="0.3">
      <c r="A603" s="8"/>
      <c r="I603" s="7"/>
    </row>
    <row r="604" spans="1:9" ht="14.4" x14ac:dyDescent="0.3">
      <c r="A604" s="8"/>
      <c r="I604" s="7"/>
    </row>
    <row r="605" spans="1:9" ht="14.4" x14ac:dyDescent="0.3">
      <c r="A605" s="8"/>
      <c r="I605" s="7"/>
    </row>
    <row r="606" spans="1:9" ht="14.4" x14ac:dyDescent="0.3">
      <c r="A606" s="8"/>
      <c r="I606" s="7"/>
    </row>
    <row r="607" spans="1:9" ht="14.4" x14ac:dyDescent="0.3">
      <c r="A607" s="8"/>
      <c r="I607" s="7"/>
    </row>
    <row r="608" spans="1:9" ht="14.4" x14ac:dyDescent="0.3">
      <c r="A608" s="8"/>
      <c r="I608" s="7"/>
    </row>
    <row r="609" spans="1:9" ht="14.4" x14ac:dyDescent="0.3">
      <c r="A609" s="8"/>
      <c r="I609" s="7"/>
    </row>
    <row r="610" spans="1:9" ht="14.4" x14ac:dyDescent="0.3">
      <c r="A610" s="8"/>
      <c r="I610" s="7"/>
    </row>
    <row r="611" spans="1:9" ht="14.4" x14ac:dyDescent="0.3">
      <c r="A611" s="8"/>
      <c r="I611" s="7"/>
    </row>
    <row r="612" spans="1:9" ht="14.4" x14ac:dyDescent="0.3">
      <c r="A612" s="8"/>
      <c r="I612" s="7"/>
    </row>
    <row r="613" spans="1:9" ht="14.4" x14ac:dyDescent="0.3">
      <c r="A613" s="8"/>
      <c r="I613" s="7"/>
    </row>
    <row r="614" spans="1:9" ht="14.4" x14ac:dyDescent="0.3">
      <c r="A614" s="8"/>
      <c r="I614" s="7"/>
    </row>
    <row r="615" spans="1:9" ht="14.4" x14ac:dyDescent="0.3">
      <c r="A615" s="8"/>
      <c r="I615" s="7"/>
    </row>
    <row r="616" spans="1:9" ht="14.4" x14ac:dyDescent="0.3">
      <c r="A616" s="8"/>
      <c r="I616" s="7"/>
    </row>
    <row r="617" spans="1:9" ht="14.4" x14ac:dyDescent="0.3">
      <c r="A617" s="8"/>
      <c r="I617" s="7"/>
    </row>
    <row r="618" spans="1:9" ht="14.4" x14ac:dyDescent="0.3">
      <c r="A618" s="8"/>
      <c r="I618" s="7"/>
    </row>
    <row r="619" spans="1:9" ht="14.4" x14ac:dyDescent="0.3">
      <c r="A619" s="8"/>
      <c r="I619" s="7"/>
    </row>
    <row r="620" spans="1:9" ht="14.4" x14ac:dyDescent="0.3">
      <c r="A620" s="8"/>
      <c r="I620" s="7"/>
    </row>
    <row r="621" spans="1:9" ht="14.4" x14ac:dyDescent="0.3">
      <c r="A621" s="8"/>
      <c r="I621" s="7"/>
    </row>
    <row r="622" spans="1:9" ht="14.4" x14ac:dyDescent="0.3">
      <c r="A622" s="8"/>
      <c r="I622" s="7"/>
    </row>
    <row r="623" spans="1:9" ht="14.4" x14ac:dyDescent="0.3">
      <c r="A623" s="8"/>
      <c r="I623" s="7"/>
    </row>
    <row r="624" spans="1:9" ht="14.4" x14ac:dyDescent="0.3">
      <c r="A624" s="8"/>
      <c r="I624" s="7"/>
    </row>
    <row r="625" spans="1:9" ht="14.4" x14ac:dyDescent="0.3">
      <c r="A625" s="8"/>
      <c r="I625" s="7"/>
    </row>
    <row r="626" spans="1:9" ht="14.4" x14ac:dyDescent="0.3">
      <c r="A626" s="8"/>
      <c r="I626" s="7"/>
    </row>
    <row r="627" spans="1:9" ht="14.4" x14ac:dyDescent="0.3">
      <c r="A627" s="8"/>
      <c r="I627" s="7"/>
    </row>
    <row r="628" spans="1:9" ht="14.4" x14ac:dyDescent="0.3">
      <c r="A628" s="8"/>
      <c r="I628" s="7"/>
    </row>
    <row r="629" spans="1:9" ht="14.4" x14ac:dyDescent="0.3">
      <c r="A629" s="8"/>
      <c r="I629" s="7"/>
    </row>
    <row r="630" spans="1:9" ht="14.4" x14ac:dyDescent="0.3">
      <c r="A630" s="8"/>
      <c r="I630" s="7"/>
    </row>
    <row r="631" spans="1:9" ht="14.4" x14ac:dyDescent="0.3">
      <c r="A631" s="8"/>
      <c r="I631" s="7"/>
    </row>
    <row r="632" spans="1:9" ht="14.4" x14ac:dyDescent="0.3">
      <c r="A632" s="8"/>
      <c r="I632" s="7"/>
    </row>
    <row r="633" spans="1:9" ht="14.4" x14ac:dyDescent="0.3">
      <c r="A633" s="8"/>
      <c r="I633" s="7"/>
    </row>
    <row r="634" spans="1:9" ht="14.4" x14ac:dyDescent="0.3">
      <c r="A634" s="8"/>
      <c r="I634" s="7"/>
    </row>
    <row r="635" spans="1:9" ht="14.4" x14ac:dyDescent="0.3">
      <c r="A635" s="8"/>
      <c r="I635" s="7"/>
    </row>
    <row r="636" spans="1:9" ht="14.4" x14ac:dyDescent="0.3">
      <c r="A636" s="8"/>
      <c r="I636" s="7"/>
    </row>
    <row r="637" spans="1:9" ht="14.4" x14ac:dyDescent="0.3">
      <c r="A637" s="8"/>
      <c r="I637" s="7"/>
    </row>
    <row r="638" spans="1:9" ht="14.4" x14ac:dyDescent="0.3">
      <c r="A638" s="8"/>
      <c r="I638" s="7"/>
    </row>
    <row r="639" spans="1:9" ht="14.4" x14ac:dyDescent="0.3">
      <c r="A639" s="8"/>
      <c r="I639" s="7"/>
    </row>
    <row r="640" spans="1:9" ht="14.4" x14ac:dyDescent="0.3">
      <c r="A640" s="8"/>
      <c r="I640" s="7"/>
    </row>
    <row r="641" spans="1:9" ht="14.4" x14ac:dyDescent="0.3">
      <c r="A641" s="8"/>
      <c r="I641" s="7"/>
    </row>
    <row r="642" spans="1:9" ht="14.4" x14ac:dyDescent="0.3">
      <c r="A642" s="8"/>
      <c r="I642" s="7"/>
    </row>
    <row r="643" spans="1:9" ht="14.4" x14ac:dyDescent="0.3">
      <c r="A643" s="8"/>
      <c r="I643" s="7"/>
    </row>
    <row r="644" spans="1:9" ht="14.4" x14ac:dyDescent="0.3">
      <c r="A644" s="8"/>
      <c r="I644" s="7"/>
    </row>
    <row r="645" spans="1:9" ht="14.4" x14ac:dyDescent="0.3">
      <c r="A645" s="8"/>
      <c r="I645" s="7"/>
    </row>
    <row r="646" spans="1:9" ht="14.4" x14ac:dyDescent="0.3">
      <c r="A646" s="8"/>
      <c r="I646" s="7"/>
    </row>
    <row r="647" spans="1:9" ht="14.4" x14ac:dyDescent="0.3">
      <c r="A647" s="8"/>
      <c r="I647" s="7"/>
    </row>
    <row r="648" spans="1:9" ht="14.4" x14ac:dyDescent="0.3">
      <c r="A648" s="8"/>
      <c r="I648" s="7"/>
    </row>
    <row r="649" spans="1:9" ht="14.4" x14ac:dyDescent="0.3">
      <c r="A649" s="8"/>
      <c r="I649" s="7"/>
    </row>
    <row r="650" spans="1:9" ht="14.4" x14ac:dyDescent="0.3">
      <c r="A650" s="8"/>
      <c r="I650" s="7"/>
    </row>
    <row r="651" spans="1:9" ht="14.4" x14ac:dyDescent="0.3">
      <c r="A651" s="8"/>
      <c r="I651" s="7"/>
    </row>
    <row r="652" spans="1:9" ht="14.4" x14ac:dyDescent="0.3">
      <c r="A652" s="8"/>
      <c r="I652" s="7"/>
    </row>
    <row r="653" spans="1:9" ht="14.4" x14ac:dyDescent="0.3">
      <c r="A653" s="8"/>
      <c r="I653" s="7"/>
    </row>
    <row r="654" spans="1:9" ht="14.4" x14ac:dyDescent="0.3">
      <c r="A654" s="8"/>
      <c r="I654" s="7"/>
    </row>
    <row r="655" spans="1:9" ht="14.4" x14ac:dyDescent="0.3">
      <c r="A655" s="8"/>
      <c r="I655" s="7"/>
    </row>
    <row r="656" spans="1:9" ht="14.4" x14ac:dyDescent="0.3">
      <c r="A656" s="8"/>
      <c r="I656" s="7"/>
    </row>
    <row r="657" spans="1:9" ht="14.4" x14ac:dyDescent="0.3">
      <c r="A657" s="8"/>
      <c r="I657" s="7"/>
    </row>
    <row r="658" spans="1:9" ht="14.4" x14ac:dyDescent="0.3">
      <c r="A658" s="8"/>
      <c r="I658" s="7"/>
    </row>
    <row r="659" spans="1:9" ht="14.4" x14ac:dyDescent="0.3">
      <c r="A659" s="8"/>
      <c r="I659" s="7"/>
    </row>
    <row r="660" spans="1:9" ht="14.4" x14ac:dyDescent="0.3">
      <c r="A660" s="8"/>
      <c r="I660" s="7"/>
    </row>
    <row r="661" spans="1:9" ht="14.4" x14ac:dyDescent="0.3">
      <c r="A661" s="8"/>
      <c r="I661" s="7"/>
    </row>
    <row r="662" spans="1:9" ht="14.4" x14ac:dyDescent="0.3">
      <c r="A662" s="8"/>
      <c r="I662" s="7"/>
    </row>
    <row r="663" spans="1:9" ht="14.4" x14ac:dyDescent="0.3">
      <c r="A663" s="8"/>
      <c r="I663" s="7"/>
    </row>
    <row r="664" spans="1:9" ht="14.4" x14ac:dyDescent="0.3">
      <c r="A664" s="8"/>
      <c r="I664" s="7"/>
    </row>
    <row r="665" spans="1:9" ht="14.4" x14ac:dyDescent="0.3">
      <c r="A665" s="8"/>
      <c r="I665" s="7"/>
    </row>
    <row r="666" spans="1:9" ht="14.4" x14ac:dyDescent="0.3">
      <c r="A666" s="8"/>
      <c r="I666" s="7"/>
    </row>
    <row r="667" spans="1:9" ht="14.4" x14ac:dyDescent="0.3">
      <c r="A667" s="8"/>
      <c r="I667" s="7"/>
    </row>
    <row r="668" spans="1:9" ht="14.4" x14ac:dyDescent="0.3">
      <c r="A668" s="8"/>
      <c r="I668" s="7"/>
    </row>
    <row r="669" spans="1:9" ht="14.4" x14ac:dyDescent="0.3">
      <c r="A669" s="8"/>
      <c r="I669" s="7"/>
    </row>
    <row r="670" spans="1:9" ht="14.4" x14ac:dyDescent="0.3">
      <c r="A670" s="8"/>
      <c r="I670" s="7"/>
    </row>
    <row r="671" spans="1:9" ht="14.4" x14ac:dyDescent="0.3">
      <c r="A671" s="8"/>
      <c r="I671" s="7"/>
    </row>
    <row r="672" spans="1:9" ht="14.4" x14ac:dyDescent="0.3">
      <c r="A672" s="8"/>
      <c r="I672" s="7"/>
    </row>
    <row r="673" spans="1:9" ht="14.4" x14ac:dyDescent="0.3">
      <c r="A673" s="8"/>
      <c r="I673" s="7"/>
    </row>
    <row r="674" spans="1:9" ht="14.4" x14ac:dyDescent="0.3">
      <c r="A674" s="8"/>
      <c r="I674" s="7"/>
    </row>
    <row r="675" spans="1:9" ht="14.4" x14ac:dyDescent="0.3">
      <c r="A675" s="8"/>
      <c r="I675" s="7"/>
    </row>
    <row r="676" spans="1:9" ht="14.4" x14ac:dyDescent="0.3">
      <c r="A676" s="8"/>
      <c r="I676" s="7"/>
    </row>
    <row r="677" spans="1:9" ht="14.4" x14ac:dyDescent="0.3">
      <c r="A677" s="8"/>
      <c r="I677" s="7"/>
    </row>
    <row r="678" spans="1:9" ht="14.4" x14ac:dyDescent="0.3">
      <c r="A678" s="8"/>
      <c r="I678" s="7"/>
    </row>
    <row r="679" spans="1:9" ht="14.4" x14ac:dyDescent="0.3">
      <c r="A679" s="8"/>
      <c r="I679" s="7"/>
    </row>
    <row r="680" spans="1:9" ht="14.4" x14ac:dyDescent="0.3">
      <c r="A680" s="8"/>
      <c r="I680" s="7"/>
    </row>
    <row r="681" spans="1:9" ht="14.4" x14ac:dyDescent="0.3">
      <c r="A681" s="8"/>
      <c r="I681" s="7"/>
    </row>
    <row r="682" spans="1:9" ht="14.4" x14ac:dyDescent="0.3">
      <c r="A682" s="8"/>
      <c r="I682" s="7"/>
    </row>
    <row r="683" spans="1:9" ht="14.4" x14ac:dyDescent="0.3">
      <c r="A683" s="8"/>
      <c r="I683" s="7"/>
    </row>
    <row r="684" spans="1:9" ht="14.4" x14ac:dyDescent="0.3">
      <c r="A684" s="8"/>
      <c r="I684" s="7"/>
    </row>
    <row r="685" spans="1:9" ht="14.4" x14ac:dyDescent="0.3">
      <c r="A685" s="8"/>
      <c r="I685" s="7"/>
    </row>
    <row r="686" spans="1:9" ht="14.4" x14ac:dyDescent="0.3">
      <c r="A686" s="8"/>
      <c r="I686" s="7"/>
    </row>
    <row r="687" spans="1:9" ht="14.4" x14ac:dyDescent="0.3">
      <c r="A687" s="8"/>
      <c r="I687" s="7"/>
    </row>
    <row r="688" spans="1:9" ht="14.4" x14ac:dyDescent="0.3">
      <c r="A688" s="8"/>
      <c r="I688" s="7"/>
    </row>
    <row r="689" spans="1:9" ht="14.4" x14ac:dyDescent="0.3">
      <c r="A689" s="8"/>
      <c r="I689" s="7"/>
    </row>
    <row r="690" spans="1:9" ht="14.4" x14ac:dyDescent="0.3">
      <c r="A690" s="8"/>
      <c r="I690" s="7"/>
    </row>
    <row r="691" spans="1:9" ht="14.4" x14ac:dyDescent="0.3">
      <c r="A691" s="8"/>
      <c r="I691" s="7"/>
    </row>
    <row r="692" spans="1:9" ht="14.4" x14ac:dyDescent="0.3">
      <c r="A692" s="8"/>
      <c r="I692" s="7"/>
    </row>
    <row r="693" spans="1:9" ht="14.4" x14ac:dyDescent="0.3">
      <c r="A693" s="8"/>
      <c r="I693" s="7"/>
    </row>
    <row r="694" spans="1:9" ht="14.4" x14ac:dyDescent="0.3">
      <c r="A694" s="8"/>
      <c r="I694" s="7"/>
    </row>
    <row r="695" spans="1:9" ht="14.4" x14ac:dyDescent="0.3">
      <c r="A695" s="8"/>
      <c r="I695" s="7"/>
    </row>
    <row r="696" spans="1:9" ht="14.4" x14ac:dyDescent="0.3">
      <c r="A696" s="8"/>
      <c r="I696" s="7"/>
    </row>
    <row r="697" spans="1:9" ht="14.4" x14ac:dyDescent="0.3">
      <c r="A697" s="8"/>
      <c r="I697" s="7"/>
    </row>
    <row r="698" spans="1:9" ht="14.4" x14ac:dyDescent="0.3">
      <c r="A698" s="8"/>
      <c r="I698" s="7"/>
    </row>
    <row r="699" spans="1:9" ht="14.4" x14ac:dyDescent="0.3">
      <c r="A699" s="8"/>
      <c r="I699" s="7"/>
    </row>
    <row r="700" spans="1:9" ht="14.4" x14ac:dyDescent="0.3">
      <c r="A700" s="8"/>
      <c r="I700" s="7"/>
    </row>
    <row r="701" spans="1:9" ht="14.4" x14ac:dyDescent="0.3">
      <c r="A701" s="8"/>
      <c r="I701" s="7"/>
    </row>
    <row r="702" spans="1:9" ht="14.4" x14ac:dyDescent="0.3">
      <c r="A702" s="8"/>
      <c r="I702" s="7"/>
    </row>
    <row r="703" spans="1:9" ht="14.4" x14ac:dyDescent="0.3">
      <c r="A703" s="8"/>
      <c r="I703" s="7"/>
    </row>
    <row r="704" spans="1:9" ht="14.4" x14ac:dyDescent="0.3">
      <c r="A704" s="8"/>
      <c r="I704" s="7"/>
    </row>
    <row r="705" spans="1:9" ht="14.4" x14ac:dyDescent="0.3">
      <c r="A705" s="8"/>
      <c r="I705" s="7"/>
    </row>
    <row r="706" spans="1:9" ht="14.4" x14ac:dyDescent="0.3">
      <c r="A706" s="8"/>
      <c r="I706" s="7"/>
    </row>
    <row r="707" spans="1:9" ht="14.4" x14ac:dyDescent="0.3">
      <c r="A707" s="8"/>
      <c r="I707" s="7"/>
    </row>
    <row r="708" spans="1:9" ht="14.4" x14ac:dyDescent="0.3">
      <c r="A708" s="8"/>
      <c r="I708" s="7"/>
    </row>
    <row r="709" spans="1:9" ht="14.4" x14ac:dyDescent="0.3">
      <c r="A709" s="8"/>
      <c r="I709" s="7"/>
    </row>
    <row r="710" spans="1:9" ht="14.4" x14ac:dyDescent="0.3">
      <c r="A710" s="8"/>
      <c r="I710" s="7"/>
    </row>
    <row r="711" spans="1:9" ht="14.4" x14ac:dyDescent="0.3">
      <c r="A711" s="8"/>
      <c r="I711" s="7"/>
    </row>
    <row r="712" spans="1:9" ht="14.4" x14ac:dyDescent="0.3">
      <c r="A712" s="8"/>
      <c r="I712" s="7"/>
    </row>
    <row r="713" spans="1:9" ht="14.4" x14ac:dyDescent="0.3">
      <c r="A713" s="8"/>
      <c r="I713" s="7"/>
    </row>
    <row r="714" spans="1:9" ht="14.4" x14ac:dyDescent="0.3">
      <c r="A714" s="8"/>
      <c r="I714" s="7"/>
    </row>
    <row r="715" spans="1:9" ht="14.4" x14ac:dyDescent="0.3">
      <c r="A715" s="8"/>
      <c r="I715" s="7"/>
    </row>
    <row r="716" spans="1:9" ht="14.4" x14ac:dyDescent="0.3">
      <c r="A716" s="8"/>
      <c r="I716" s="7"/>
    </row>
    <row r="717" spans="1:9" ht="14.4" x14ac:dyDescent="0.3">
      <c r="A717" s="8"/>
      <c r="I717" s="7"/>
    </row>
    <row r="718" spans="1:9" ht="14.4" x14ac:dyDescent="0.3">
      <c r="A718" s="8"/>
      <c r="I718" s="7"/>
    </row>
    <row r="719" spans="1:9" ht="14.4" x14ac:dyDescent="0.3">
      <c r="A719" s="8"/>
      <c r="I719" s="7"/>
    </row>
    <row r="720" spans="1:9" ht="14.4" x14ac:dyDescent="0.3">
      <c r="A720" s="8"/>
      <c r="I720" s="7"/>
    </row>
    <row r="721" spans="1:9" ht="14.4" x14ac:dyDescent="0.3">
      <c r="A721" s="8"/>
      <c r="I721" s="7"/>
    </row>
    <row r="722" spans="1:9" ht="14.4" x14ac:dyDescent="0.3">
      <c r="A722" s="8"/>
      <c r="I722" s="7"/>
    </row>
    <row r="723" spans="1:9" ht="14.4" x14ac:dyDescent="0.3">
      <c r="A723" s="8"/>
      <c r="I723" s="7"/>
    </row>
    <row r="724" spans="1:9" ht="14.4" x14ac:dyDescent="0.3">
      <c r="A724" s="8"/>
      <c r="I724" s="7"/>
    </row>
    <row r="725" spans="1:9" ht="14.4" x14ac:dyDescent="0.3">
      <c r="A725" s="8"/>
      <c r="I725" s="7"/>
    </row>
    <row r="726" spans="1:9" ht="14.4" x14ac:dyDescent="0.3">
      <c r="A726" s="8"/>
      <c r="I726" s="7"/>
    </row>
    <row r="727" spans="1:9" ht="14.4" x14ac:dyDescent="0.3">
      <c r="A727" s="8"/>
      <c r="I727" s="7"/>
    </row>
    <row r="728" spans="1:9" ht="14.4" x14ac:dyDescent="0.3">
      <c r="A728" s="8"/>
      <c r="I728" s="7"/>
    </row>
    <row r="729" spans="1:9" ht="14.4" x14ac:dyDescent="0.3">
      <c r="A729" s="8"/>
      <c r="I729" s="7"/>
    </row>
    <row r="730" spans="1:9" ht="14.4" x14ac:dyDescent="0.3">
      <c r="A730" s="8"/>
      <c r="I730" s="7"/>
    </row>
    <row r="731" spans="1:9" ht="14.4" x14ac:dyDescent="0.3">
      <c r="A731" s="8"/>
      <c r="I731" s="7"/>
    </row>
    <row r="732" spans="1:9" ht="14.4" x14ac:dyDescent="0.3">
      <c r="A732" s="8"/>
      <c r="I732" s="7"/>
    </row>
    <row r="733" spans="1:9" ht="14.4" x14ac:dyDescent="0.3">
      <c r="A733" s="8"/>
      <c r="I733" s="7"/>
    </row>
    <row r="734" spans="1:9" ht="14.4" x14ac:dyDescent="0.3">
      <c r="A734" s="8"/>
      <c r="I734" s="7"/>
    </row>
    <row r="735" spans="1:9" ht="14.4" x14ac:dyDescent="0.3">
      <c r="A735" s="8"/>
      <c r="I735" s="7"/>
    </row>
    <row r="736" spans="1:9" ht="14.4" x14ac:dyDescent="0.3">
      <c r="A736" s="8"/>
      <c r="I736" s="7"/>
    </row>
    <row r="737" spans="1:9" ht="14.4" x14ac:dyDescent="0.3">
      <c r="A737" s="8"/>
      <c r="I737" s="7"/>
    </row>
    <row r="738" spans="1:9" ht="14.4" x14ac:dyDescent="0.3">
      <c r="A738" s="8"/>
      <c r="I738" s="7"/>
    </row>
    <row r="739" spans="1:9" ht="14.4" x14ac:dyDescent="0.3">
      <c r="A739" s="8"/>
      <c r="I739" s="7"/>
    </row>
    <row r="740" spans="1:9" ht="14.4" x14ac:dyDescent="0.3">
      <c r="A740" s="8"/>
      <c r="I740" s="7"/>
    </row>
    <row r="741" spans="1:9" ht="14.4" x14ac:dyDescent="0.3">
      <c r="A741" s="8"/>
      <c r="I741" s="7"/>
    </row>
    <row r="742" spans="1:9" ht="14.4" x14ac:dyDescent="0.3">
      <c r="A742" s="8"/>
      <c r="I742" s="7"/>
    </row>
    <row r="743" spans="1:9" ht="14.4" x14ac:dyDescent="0.3">
      <c r="A743" s="8"/>
      <c r="I743" s="7"/>
    </row>
    <row r="744" spans="1:9" ht="14.4" x14ac:dyDescent="0.3">
      <c r="A744" s="8"/>
      <c r="I744" s="7"/>
    </row>
    <row r="745" spans="1:9" ht="14.4" x14ac:dyDescent="0.3">
      <c r="A745" s="8"/>
      <c r="I745" s="7"/>
    </row>
    <row r="746" spans="1:9" ht="14.4" x14ac:dyDescent="0.3">
      <c r="A746" s="8"/>
      <c r="I746" s="7"/>
    </row>
    <row r="747" spans="1:9" ht="14.4" x14ac:dyDescent="0.3">
      <c r="A747" s="8"/>
      <c r="I747" s="7"/>
    </row>
    <row r="748" spans="1:9" ht="14.4" x14ac:dyDescent="0.3">
      <c r="A748" s="8"/>
      <c r="I748" s="7"/>
    </row>
    <row r="749" spans="1:9" ht="14.4" x14ac:dyDescent="0.3">
      <c r="A749" s="8"/>
      <c r="I749" s="7"/>
    </row>
    <row r="750" spans="1:9" ht="14.4" x14ac:dyDescent="0.3">
      <c r="A750" s="8"/>
      <c r="I750" s="7"/>
    </row>
    <row r="751" spans="1:9" ht="14.4" x14ac:dyDescent="0.3">
      <c r="A751" s="8"/>
      <c r="I751" s="7"/>
    </row>
    <row r="752" spans="1:9" ht="14.4" x14ac:dyDescent="0.3">
      <c r="A752" s="8"/>
      <c r="I752" s="7"/>
    </row>
    <row r="753" spans="1:9" ht="14.4" x14ac:dyDescent="0.3">
      <c r="A753" s="8"/>
      <c r="I753" s="7"/>
    </row>
    <row r="754" spans="1:9" ht="14.4" x14ac:dyDescent="0.3">
      <c r="A754" s="8"/>
      <c r="I754" s="7"/>
    </row>
    <row r="755" spans="1:9" ht="14.4" x14ac:dyDescent="0.3">
      <c r="A755" s="8"/>
      <c r="I755" s="7"/>
    </row>
    <row r="756" spans="1:9" ht="14.4" x14ac:dyDescent="0.3">
      <c r="A756" s="8"/>
      <c r="I756" s="7"/>
    </row>
    <row r="757" spans="1:9" ht="14.4" x14ac:dyDescent="0.3">
      <c r="A757" s="8"/>
      <c r="I757" s="7"/>
    </row>
    <row r="758" spans="1:9" ht="14.4" x14ac:dyDescent="0.3">
      <c r="A758" s="8"/>
      <c r="I758" s="7"/>
    </row>
    <row r="759" spans="1:9" ht="14.4" x14ac:dyDescent="0.3">
      <c r="A759" s="8"/>
      <c r="I759" s="7"/>
    </row>
    <row r="760" spans="1:9" ht="14.4" x14ac:dyDescent="0.3">
      <c r="A760" s="8"/>
      <c r="I760" s="7"/>
    </row>
    <row r="761" spans="1:9" ht="14.4" x14ac:dyDescent="0.3">
      <c r="A761" s="8"/>
      <c r="I761" s="7"/>
    </row>
    <row r="762" spans="1:9" ht="14.4" x14ac:dyDescent="0.3">
      <c r="A762" s="8"/>
      <c r="I762" s="7"/>
    </row>
    <row r="763" spans="1:9" ht="14.4" x14ac:dyDescent="0.3">
      <c r="A763" s="8"/>
      <c r="I763" s="7"/>
    </row>
    <row r="764" spans="1:9" ht="14.4" x14ac:dyDescent="0.3">
      <c r="A764" s="8"/>
      <c r="I764" s="7"/>
    </row>
    <row r="765" spans="1:9" ht="14.4" x14ac:dyDescent="0.3">
      <c r="A765" s="8"/>
      <c r="I765" s="7"/>
    </row>
    <row r="766" spans="1:9" ht="14.4" x14ac:dyDescent="0.3">
      <c r="A766" s="8"/>
      <c r="I766" s="7"/>
    </row>
    <row r="767" spans="1:9" ht="14.4" x14ac:dyDescent="0.3">
      <c r="A767" s="8"/>
      <c r="I767" s="7"/>
    </row>
    <row r="768" spans="1:9" ht="14.4" x14ac:dyDescent="0.3">
      <c r="A768" s="8"/>
      <c r="I768" s="7"/>
    </row>
    <row r="769" spans="1:9" ht="14.4" x14ac:dyDescent="0.3">
      <c r="A769" s="8"/>
      <c r="I769" s="7"/>
    </row>
    <row r="770" spans="1:9" ht="14.4" x14ac:dyDescent="0.3">
      <c r="A770" s="8"/>
      <c r="I770" s="7"/>
    </row>
    <row r="771" spans="1:9" ht="14.4" x14ac:dyDescent="0.3">
      <c r="A771" s="8"/>
      <c r="I771" s="7"/>
    </row>
    <row r="772" spans="1:9" ht="14.4" x14ac:dyDescent="0.3">
      <c r="A772" s="8"/>
      <c r="I772" s="7"/>
    </row>
    <row r="773" spans="1:9" ht="14.4" x14ac:dyDescent="0.3">
      <c r="A773" s="8"/>
      <c r="I773" s="7"/>
    </row>
    <row r="774" spans="1:9" ht="14.4" x14ac:dyDescent="0.3">
      <c r="A774" s="8"/>
      <c r="I774" s="7"/>
    </row>
    <row r="775" spans="1:9" ht="14.4" x14ac:dyDescent="0.3">
      <c r="A775" s="8"/>
      <c r="I775" s="7"/>
    </row>
    <row r="776" spans="1:9" ht="14.4" x14ac:dyDescent="0.3">
      <c r="A776" s="8"/>
      <c r="I776" s="7"/>
    </row>
    <row r="777" spans="1:9" ht="14.4" x14ac:dyDescent="0.3">
      <c r="A777" s="8"/>
      <c r="I777" s="7"/>
    </row>
    <row r="778" spans="1:9" ht="14.4" x14ac:dyDescent="0.3">
      <c r="A778" s="8"/>
      <c r="I778" s="7"/>
    </row>
    <row r="779" spans="1:9" ht="14.4" x14ac:dyDescent="0.3">
      <c r="A779" s="8"/>
      <c r="I779" s="7"/>
    </row>
    <row r="780" spans="1:9" ht="14.4" x14ac:dyDescent="0.3">
      <c r="A780" s="8"/>
      <c r="I780" s="7"/>
    </row>
    <row r="781" spans="1:9" ht="14.4" x14ac:dyDescent="0.3">
      <c r="A781" s="8"/>
      <c r="I781" s="7"/>
    </row>
    <row r="782" spans="1:9" ht="14.4" x14ac:dyDescent="0.3">
      <c r="A782" s="8"/>
      <c r="I782" s="7"/>
    </row>
    <row r="783" spans="1:9" ht="14.4" x14ac:dyDescent="0.3">
      <c r="A783" s="8"/>
      <c r="I783" s="7"/>
    </row>
    <row r="784" spans="1:9" ht="14.4" x14ac:dyDescent="0.3">
      <c r="A784" s="8"/>
      <c r="I784" s="7"/>
    </row>
    <row r="785" spans="1:9" ht="14.4" x14ac:dyDescent="0.3">
      <c r="A785" s="8"/>
      <c r="I785" s="7"/>
    </row>
    <row r="786" spans="1:9" ht="14.4" x14ac:dyDescent="0.3">
      <c r="A786" s="8"/>
      <c r="I786" s="7"/>
    </row>
    <row r="787" spans="1:9" ht="14.4" x14ac:dyDescent="0.3">
      <c r="A787" s="8"/>
      <c r="I787" s="7"/>
    </row>
    <row r="788" spans="1:9" ht="14.4" x14ac:dyDescent="0.3">
      <c r="A788" s="8"/>
      <c r="I788" s="7"/>
    </row>
    <row r="789" spans="1:9" ht="14.4" x14ac:dyDescent="0.3">
      <c r="A789" s="8"/>
      <c r="I789" s="7"/>
    </row>
    <row r="790" spans="1:9" ht="14.4" x14ac:dyDescent="0.3">
      <c r="A790" s="8"/>
      <c r="I790" s="7"/>
    </row>
    <row r="791" spans="1:9" ht="14.4" x14ac:dyDescent="0.3">
      <c r="A791" s="8"/>
      <c r="I791" s="7"/>
    </row>
    <row r="792" spans="1:9" ht="14.4" x14ac:dyDescent="0.3">
      <c r="A792" s="8"/>
      <c r="I792" s="7"/>
    </row>
    <row r="793" spans="1:9" ht="14.4" x14ac:dyDescent="0.3">
      <c r="A793" s="8"/>
      <c r="I793" s="7"/>
    </row>
    <row r="794" spans="1:9" ht="14.4" x14ac:dyDescent="0.3">
      <c r="A794" s="8"/>
      <c r="I794" s="7"/>
    </row>
    <row r="795" spans="1:9" ht="14.4" x14ac:dyDescent="0.3">
      <c r="A795" s="8"/>
      <c r="I795" s="7"/>
    </row>
    <row r="796" spans="1:9" ht="14.4" x14ac:dyDescent="0.3">
      <c r="A796" s="8"/>
      <c r="I796" s="7"/>
    </row>
    <row r="797" spans="1:9" ht="14.4" x14ac:dyDescent="0.3">
      <c r="A797" s="8"/>
      <c r="I797" s="7"/>
    </row>
    <row r="798" spans="1:9" ht="14.4" x14ac:dyDescent="0.3">
      <c r="A798" s="8"/>
      <c r="I798" s="7"/>
    </row>
    <row r="799" spans="1:9" ht="14.4" x14ac:dyDescent="0.3">
      <c r="A799" s="8"/>
      <c r="I799" s="7"/>
    </row>
    <row r="800" spans="1:9" ht="14.4" x14ac:dyDescent="0.3">
      <c r="A800" s="8"/>
      <c r="I800" s="7"/>
    </row>
    <row r="801" spans="1:9" ht="14.4" x14ac:dyDescent="0.3">
      <c r="A801" s="8"/>
      <c r="I801" s="7"/>
    </row>
    <row r="802" spans="1:9" ht="14.4" x14ac:dyDescent="0.3">
      <c r="A802" s="8"/>
      <c r="I802" s="7"/>
    </row>
    <row r="803" spans="1:9" ht="14.4" x14ac:dyDescent="0.3">
      <c r="A803" s="8"/>
      <c r="I803" s="7"/>
    </row>
    <row r="804" spans="1:9" ht="14.4" x14ac:dyDescent="0.3">
      <c r="A804" s="8"/>
      <c r="I804" s="7"/>
    </row>
    <row r="805" spans="1:9" ht="14.4" x14ac:dyDescent="0.3">
      <c r="A805" s="8"/>
      <c r="I805" s="7"/>
    </row>
    <row r="806" spans="1:9" ht="14.4" x14ac:dyDescent="0.3">
      <c r="A806" s="8"/>
      <c r="I806" s="7"/>
    </row>
    <row r="807" spans="1:9" ht="14.4" x14ac:dyDescent="0.3">
      <c r="A807" s="8"/>
      <c r="I807" s="7"/>
    </row>
    <row r="808" spans="1:9" ht="14.4" x14ac:dyDescent="0.3">
      <c r="A808" s="8"/>
      <c r="I808" s="7"/>
    </row>
    <row r="809" spans="1:9" ht="14.4" x14ac:dyDescent="0.3">
      <c r="A809" s="8"/>
      <c r="I809" s="7"/>
    </row>
    <row r="810" spans="1:9" ht="14.4" x14ac:dyDescent="0.3">
      <c r="A810" s="8"/>
      <c r="I810" s="7"/>
    </row>
    <row r="811" spans="1:9" ht="14.4" x14ac:dyDescent="0.3">
      <c r="A811" s="8"/>
      <c r="I811" s="7"/>
    </row>
    <row r="812" spans="1:9" ht="14.4" x14ac:dyDescent="0.3">
      <c r="A812" s="8"/>
      <c r="I812" s="7"/>
    </row>
    <row r="813" spans="1:9" ht="14.4" x14ac:dyDescent="0.3">
      <c r="A813" s="8"/>
      <c r="I813" s="7"/>
    </row>
    <row r="814" spans="1:9" ht="14.4" x14ac:dyDescent="0.3">
      <c r="A814" s="8"/>
      <c r="I814" s="7"/>
    </row>
    <row r="815" spans="1:9" ht="14.4" x14ac:dyDescent="0.3">
      <c r="A815" s="8"/>
      <c r="I815" s="7"/>
    </row>
    <row r="816" spans="1:9" ht="14.4" x14ac:dyDescent="0.3">
      <c r="A816" s="8"/>
      <c r="I816" s="7"/>
    </row>
    <row r="817" spans="1:9" ht="14.4" x14ac:dyDescent="0.3">
      <c r="A817" s="8"/>
      <c r="I817" s="7"/>
    </row>
    <row r="818" spans="1:9" ht="14.4" x14ac:dyDescent="0.3">
      <c r="A818" s="8"/>
      <c r="I818" s="7"/>
    </row>
    <row r="819" spans="1:9" ht="14.4" x14ac:dyDescent="0.3">
      <c r="A819" s="8"/>
      <c r="I819" s="7"/>
    </row>
    <row r="820" spans="1:9" ht="14.4" x14ac:dyDescent="0.3">
      <c r="A820" s="8"/>
      <c r="I820" s="7"/>
    </row>
    <row r="821" spans="1:9" ht="14.4" x14ac:dyDescent="0.3">
      <c r="A821" s="8"/>
      <c r="I821" s="7"/>
    </row>
    <row r="822" spans="1:9" ht="14.4" x14ac:dyDescent="0.3">
      <c r="A822" s="8"/>
      <c r="I822" s="7"/>
    </row>
    <row r="823" spans="1:9" ht="14.4" x14ac:dyDescent="0.3">
      <c r="A823" s="8"/>
      <c r="I823" s="7"/>
    </row>
    <row r="824" spans="1:9" ht="14.4" x14ac:dyDescent="0.3">
      <c r="A824" s="8"/>
      <c r="I824" s="7"/>
    </row>
    <row r="825" spans="1:9" ht="14.4" x14ac:dyDescent="0.3">
      <c r="A825" s="8"/>
      <c r="I825" s="7"/>
    </row>
    <row r="826" spans="1:9" ht="14.4" x14ac:dyDescent="0.3">
      <c r="A826" s="8"/>
      <c r="I826" s="7"/>
    </row>
    <row r="827" spans="1:9" ht="14.4" x14ac:dyDescent="0.3">
      <c r="A827" s="8"/>
      <c r="I827" s="7"/>
    </row>
    <row r="828" spans="1:9" ht="14.4" x14ac:dyDescent="0.3">
      <c r="A828" s="8"/>
      <c r="I828" s="7"/>
    </row>
    <row r="829" spans="1:9" ht="14.4" x14ac:dyDescent="0.3">
      <c r="A829" s="8"/>
      <c r="I829" s="7"/>
    </row>
    <row r="830" spans="1:9" ht="14.4" x14ac:dyDescent="0.3">
      <c r="A830" s="8"/>
      <c r="I830" s="7"/>
    </row>
    <row r="831" spans="1:9" ht="14.4" x14ac:dyDescent="0.3">
      <c r="A831" s="8"/>
      <c r="I831" s="7"/>
    </row>
    <row r="832" spans="1:9" ht="14.4" x14ac:dyDescent="0.3">
      <c r="A832" s="8"/>
      <c r="I832" s="7"/>
    </row>
    <row r="833" spans="1:9" ht="14.4" x14ac:dyDescent="0.3">
      <c r="A833" s="8"/>
      <c r="I833" s="7"/>
    </row>
    <row r="834" spans="1:9" ht="14.4" x14ac:dyDescent="0.3">
      <c r="A834" s="8"/>
      <c r="I834" s="7"/>
    </row>
    <row r="835" spans="1:9" ht="14.4" x14ac:dyDescent="0.3">
      <c r="A835" s="8"/>
      <c r="I835" s="7"/>
    </row>
    <row r="836" spans="1:9" ht="14.4" x14ac:dyDescent="0.3">
      <c r="A836" s="8"/>
      <c r="I836" s="7"/>
    </row>
    <row r="837" spans="1:9" ht="14.4" x14ac:dyDescent="0.3">
      <c r="A837" s="8"/>
      <c r="I837" s="7"/>
    </row>
    <row r="838" spans="1:9" ht="14.4" x14ac:dyDescent="0.3">
      <c r="A838" s="8"/>
      <c r="I838" s="7"/>
    </row>
    <row r="839" spans="1:9" ht="14.4" x14ac:dyDescent="0.3">
      <c r="A839" s="8"/>
      <c r="I839" s="7"/>
    </row>
    <row r="840" spans="1:9" ht="14.4" x14ac:dyDescent="0.3">
      <c r="A840" s="8"/>
      <c r="I840" s="7"/>
    </row>
    <row r="841" spans="1:9" ht="14.4" x14ac:dyDescent="0.3">
      <c r="A841" s="8"/>
      <c r="I841" s="7"/>
    </row>
    <row r="842" spans="1:9" ht="14.4" x14ac:dyDescent="0.3">
      <c r="A842" s="8"/>
      <c r="I842" s="7"/>
    </row>
    <row r="843" spans="1:9" ht="14.4" x14ac:dyDescent="0.3">
      <c r="A843" s="8"/>
      <c r="I843" s="7"/>
    </row>
    <row r="844" spans="1:9" ht="14.4" x14ac:dyDescent="0.3">
      <c r="A844" s="8"/>
      <c r="I844" s="7"/>
    </row>
    <row r="845" spans="1:9" ht="14.4" x14ac:dyDescent="0.3">
      <c r="A845" s="8"/>
      <c r="I845" s="7"/>
    </row>
    <row r="846" spans="1:9" ht="14.4" x14ac:dyDescent="0.3">
      <c r="A846" s="8"/>
      <c r="I846" s="7"/>
    </row>
    <row r="847" spans="1:9" ht="14.4" x14ac:dyDescent="0.3">
      <c r="A847" s="8"/>
      <c r="I847" s="7"/>
    </row>
    <row r="848" spans="1:9" ht="14.4" x14ac:dyDescent="0.3">
      <c r="A848" s="8"/>
      <c r="I848" s="7"/>
    </row>
    <row r="849" spans="1:9" ht="14.4" x14ac:dyDescent="0.3">
      <c r="A849" s="8"/>
      <c r="I849" s="7"/>
    </row>
    <row r="850" spans="1:9" ht="14.4" x14ac:dyDescent="0.3">
      <c r="A850" s="8"/>
      <c r="I850" s="7"/>
    </row>
    <row r="851" spans="1:9" ht="14.4" x14ac:dyDescent="0.3">
      <c r="A851" s="8"/>
      <c r="I851" s="7"/>
    </row>
    <row r="852" spans="1:9" ht="14.4" x14ac:dyDescent="0.3">
      <c r="A852" s="8"/>
      <c r="I852" s="7"/>
    </row>
    <row r="853" spans="1:9" ht="14.4" x14ac:dyDescent="0.3">
      <c r="A853" s="8"/>
      <c r="I853" s="7"/>
    </row>
    <row r="854" spans="1:9" ht="14.4" x14ac:dyDescent="0.3">
      <c r="A854" s="8"/>
      <c r="I854" s="7"/>
    </row>
    <row r="855" spans="1:9" ht="14.4" x14ac:dyDescent="0.3">
      <c r="A855" s="8"/>
      <c r="I855" s="7"/>
    </row>
    <row r="856" spans="1:9" ht="14.4" x14ac:dyDescent="0.3">
      <c r="A856" s="8"/>
      <c r="I856" s="7"/>
    </row>
    <row r="857" spans="1:9" ht="14.4" x14ac:dyDescent="0.3">
      <c r="A857" s="8"/>
      <c r="I857" s="7"/>
    </row>
    <row r="858" spans="1:9" ht="14.4" x14ac:dyDescent="0.3">
      <c r="A858" s="8"/>
      <c r="I858" s="7"/>
    </row>
    <row r="859" spans="1:9" ht="14.4" x14ac:dyDescent="0.3">
      <c r="A859" s="8"/>
      <c r="I859" s="7"/>
    </row>
    <row r="860" spans="1:9" ht="14.4" x14ac:dyDescent="0.3">
      <c r="A860" s="8"/>
      <c r="I860" s="7"/>
    </row>
    <row r="861" spans="1:9" ht="14.4" x14ac:dyDescent="0.3">
      <c r="A861" s="8"/>
      <c r="I861" s="7"/>
    </row>
    <row r="862" spans="1:9" ht="14.4" x14ac:dyDescent="0.3">
      <c r="A862" s="8"/>
      <c r="I862" s="7"/>
    </row>
    <row r="863" spans="1:9" ht="14.4" x14ac:dyDescent="0.3">
      <c r="A863" s="8"/>
      <c r="I863" s="7"/>
    </row>
    <row r="864" spans="1:9" ht="14.4" x14ac:dyDescent="0.3">
      <c r="A864" s="8"/>
      <c r="I864" s="7"/>
    </row>
    <row r="865" spans="1:9" ht="14.4" x14ac:dyDescent="0.3">
      <c r="A865" s="8"/>
      <c r="I865" s="7"/>
    </row>
    <row r="866" spans="1:9" ht="14.4" x14ac:dyDescent="0.3">
      <c r="A866" s="8"/>
      <c r="I866" s="7"/>
    </row>
    <row r="867" spans="1:9" ht="14.4" x14ac:dyDescent="0.3">
      <c r="A867" s="8"/>
      <c r="I867" s="7"/>
    </row>
    <row r="868" spans="1:9" ht="14.4" x14ac:dyDescent="0.3">
      <c r="A868" s="8"/>
      <c r="I868" s="7"/>
    </row>
    <row r="869" spans="1:9" ht="14.4" x14ac:dyDescent="0.3">
      <c r="A869" s="8"/>
      <c r="I869" s="7"/>
    </row>
    <row r="870" spans="1:9" ht="14.4" x14ac:dyDescent="0.3">
      <c r="A870" s="8"/>
      <c r="I870" s="7"/>
    </row>
    <row r="871" spans="1:9" ht="14.4" x14ac:dyDescent="0.3">
      <c r="A871" s="8"/>
      <c r="I871" s="7"/>
    </row>
    <row r="872" spans="1:9" ht="14.4" x14ac:dyDescent="0.3">
      <c r="A872" s="8"/>
      <c r="I872" s="7"/>
    </row>
    <row r="873" spans="1:9" ht="14.4" x14ac:dyDescent="0.3">
      <c r="A873" s="8"/>
      <c r="I873" s="7"/>
    </row>
    <row r="874" spans="1:9" ht="14.4" x14ac:dyDescent="0.3">
      <c r="A874" s="8"/>
      <c r="I874" s="7"/>
    </row>
    <row r="875" spans="1:9" ht="14.4" x14ac:dyDescent="0.3">
      <c r="A875" s="8"/>
      <c r="I875" s="7"/>
    </row>
    <row r="876" spans="1:9" ht="14.4" x14ac:dyDescent="0.3">
      <c r="A876" s="8"/>
      <c r="I876" s="7"/>
    </row>
    <row r="877" spans="1:9" ht="14.4" x14ac:dyDescent="0.3">
      <c r="A877" s="8"/>
      <c r="I877" s="7"/>
    </row>
    <row r="878" spans="1:9" ht="14.4" x14ac:dyDescent="0.3">
      <c r="A878" s="8"/>
      <c r="I878" s="7"/>
    </row>
    <row r="879" spans="1:9" ht="14.4" x14ac:dyDescent="0.3">
      <c r="A879" s="8"/>
      <c r="I879" s="7"/>
    </row>
    <row r="880" spans="1:9" ht="14.4" x14ac:dyDescent="0.3">
      <c r="A880" s="8"/>
      <c r="I880" s="7"/>
    </row>
    <row r="881" spans="1:9" ht="14.4" x14ac:dyDescent="0.3">
      <c r="A881" s="8"/>
      <c r="I881" s="7"/>
    </row>
    <row r="882" spans="1:9" ht="14.4" x14ac:dyDescent="0.3">
      <c r="A882" s="8"/>
      <c r="I882" s="7"/>
    </row>
    <row r="883" spans="1:9" ht="14.4" x14ac:dyDescent="0.3">
      <c r="A883" s="8"/>
      <c r="I883" s="7"/>
    </row>
    <row r="884" spans="1:9" ht="14.4" x14ac:dyDescent="0.3">
      <c r="A884" s="8"/>
      <c r="I884" s="7"/>
    </row>
    <row r="885" spans="1:9" ht="14.4" x14ac:dyDescent="0.3">
      <c r="A885" s="8"/>
      <c r="I885" s="7"/>
    </row>
    <row r="886" spans="1:9" ht="14.4" x14ac:dyDescent="0.3">
      <c r="A886" s="8"/>
      <c r="I886" s="7"/>
    </row>
    <row r="887" spans="1:9" ht="14.4" x14ac:dyDescent="0.3">
      <c r="A887" s="8"/>
      <c r="I887" s="7"/>
    </row>
    <row r="888" spans="1:9" ht="14.4" x14ac:dyDescent="0.3">
      <c r="A888" s="8"/>
      <c r="I888" s="7"/>
    </row>
    <row r="889" spans="1:9" ht="14.4" x14ac:dyDescent="0.3">
      <c r="A889" s="8"/>
      <c r="I889" s="7"/>
    </row>
    <row r="890" spans="1:9" ht="14.4" x14ac:dyDescent="0.3">
      <c r="A890" s="8"/>
      <c r="I890" s="7"/>
    </row>
    <row r="891" spans="1:9" ht="14.4" x14ac:dyDescent="0.3">
      <c r="A891" s="8"/>
      <c r="I891" s="7"/>
    </row>
    <row r="892" spans="1:9" ht="14.4" x14ac:dyDescent="0.3">
      <c r="A892" s="8"/>
      <c r="I892" s="7"/>
    </row>
    <row r="893" spans="1:9" ht="14.4" x14ac:dyDescent="0.3">
      <c r="A893" s="8"/>
      <c r="I893" s="7"/>
    </row>
    <row r="894" spans="1:9" ht="14.4" x14ac:dyDescent="0.3">
      <c r="A894" s="8"/>
      <c r="I894" s="7"/>
    </row>
    <row r="895" spans="1:9" ht="14.4" x14ac:dyDescent="0.3">
      <c r="A895" s="8"/>
      <c r="I895" s="7"/>
    </row>
    <row r="896" spans="1:9" ht="14.4" x14ac:dyDescent="0.3">
      <c r="A896" s="8"/>
      <c r="I896" s="7"/>
    </row>
    <row r="897" spans="1:9" ht="14.4" x14ac:dyDescent="0.3">
      <c r="A897" s="8"/>
      <c r="I897" s="7"/>
    </row>
    <row r="898" spans="1:9" ht="14.4" x14ac:dyDescent="0.3">
      <c r="A898" s="8"/>
      <c r="I898" s="7"/>
    </row>
    <row r="899" spans="1:9" ht="14.4" x14ac:dyDescent="0.3">
      <c r="A899" s="8"/>
      <c r="I899" s="7"/>
    </row>
    <row r="900" spans="1:9" ht="14.4" x14ac:dyDescent="0.3">
      <c r="A900" s="8"/>
      <c r="I900" s="7"/>
    </row>
    <row r="901" spans="1:9" ht="14.4" x14ac:dyDescent="0.3">
      <c r="A901" s="8"/>
      <c r="I901" s="7"/>
    </row>
    <row r="902" spans="1:9" ht="14.4" x14ac:dyDescent="0.3">
      <c r="A902" s="8"/>
      <c r="I902" s="7"/>
    </row>
    <row r="903" spans="1:9" ht="14.4" x14ac:dyDescent="0.3">
      <c r="A903" s="8"/>
      <c r="I903" s="7"/>
    </row>
    <row r="904" spans="1:9" ht="14.4" x14ac:dyDescent="0.3">
      <c r="A904" s="8"/>
      <c r="I904" s="7"/>
    </row>
    <row r="905" spans="1:9" ht="14.4" x14ac:dyDescent="0.3">
      <c r="A905" s="8"/>
      <c r="I905" s="7"/>
    </row>
    <row r="906" spans="1:9" ht="14.4" x14ac:dyDescent="0.3">
      <c r="A906" s="8"/>
      <c r="I906" s="7"/>
    </row>
    <row r="907" spans="1:9" ht="14.4" x14ac:dyDescent="0.3">
      <c r="A907" s="8"/>
      <c r="I907" s="7"/>
    </row>
    <row r="908" spans="1:9" ht="14.4" x14ac:dyDescent="0.3">
      <c r="A908" s="8"/>
      <c r="I908" s="7"/>
    </row>
    <row r="909" spans="1:9" ht="14.4" x14ac:dyDescent="0.3">
      <c r="A909" s="8"/>
      <c r="I909" s="7"/>
    </row>
    <row r="910" spans="1:9" ht="14.4" x14ac:dyDescent="0.3">
      <c r="A910" s="8"/>
      <c r="I910" s="7"/>
    </row>
    <row r="911" spans="1:9" ht="14.4" x14ac:dyDescent="0.3">
      <c r="A911" s="8"/>
      <c r="I911" s="7"/>
    </row>
    <row r="912" spans="1:9" ht="14.4" x14ac:dyDescent="0.3">
      <c r="A912" s="8"/>
      <c r="I912" s="7"/>
    </row>
    <row r="913" spans="1:9" ht="14.4" x14ac:dyDescent="0.3">
      <c r="A913" s="8"/>
      <c r="I913" s="7"/>
    </row>
    <row r="914" spans="1:9" ht="14.4" x14ac:dyDescent="0.3">
      <c r="A914" s="8"/>
      <c r="I914" s="7"/>
    </row>
    <row r="915" spans="1:9" ht="14.4" x14ac:dyDescent="0.3">
      <c r="A915" s="8"/>
      <c r="I915" s="7"/>
    </row>
    <row r="916" spans="1:9" ht="14.4" x14ac:dyDescent="0.3">
      <c r="A916" s="8"/>
      <c r="I916" s="7"/>
    </row>
    <row r="917" spans="1:9" ht="14.4" x14ac:dyDescent="0.3">
      <c r="A917" s="8"/>
      <c r="I917" s="7"/>
    </row>
    <row r="918" spans="1:9" ht="14.4" x14ac:dyDescent="0.3">
      <c r="A918" s="8"/>
      <c r="I918" s="7"/>
    </row>
    <row r="919" spans="1:9" ht="14.4" x14ac:dyDescent="0.3">
      <c r="A919" s="8"/>
      <c r="I919" s="7"/>
    </row>
    <row r="920" spans="1:9" ht="14.4" x14ac:dyDescent="0.3">
      <c r="A920" s="8"/>
      <c r="I920" s="7"/>
    </row>
    <row r="921" spans="1:9" ht="14.4" x14ac:dyDescent="0.3">
      <c r="A921" s="8"/>
      <c r="I921" s="7"/>
    </row>
    <row r="922" spans="1:9" ht="14.4" x14ac:dyDescent="0.3">
      <c r="A922" s="8"/>
      <c r="I922" s="7"/>
    </row>
    <row r="923" spans="1:9" ht="14.4" x14ac:dyDescent="0.3">
      <c r="A923" s="8"/>
      <c r="I923" s="7"/>
    </row>
    <row r="924" spans="1:9" ht="14.4" x14ac:dyDescent="0.3">
      <c r="A924" s="8"/>
      <c r="I924" s="7"/>
    </row>
    <row r="925" spans="1:9" ht="14.4" x14ac:dyDescent="0.3">
      <c r="A925" s="8"/>
      <c r="I925" s="7"/>
    </row>
    <row r="926" spans="1:9" ht="14.4" x14ac:dyDescent="0.3">
      <c r="A926" s="8"/>
      <c r="I926" s="7"/>
    </row>
    <row r="927" spans="1:9" ht="14.4" x14ac:dyDescent="0.3">
      <c r="A927" s="8"/>
      <c r="I927" s="7"/>
    </row>
    <row r="928" spans="1:9" ht="14.4" x14ac:dyDescent="0.3">
      <c r="A928" s="8"/>
      <c r="I928" s="7"/>
    </row>
    <row r="929" spans="1:9" ht="14.4" x14ac:dyDescent="0.3">
      <c r="A929" s="8"/>
      <c r="I929" s="7"/>
    </row>
    <row r="930" spans="1:9" ht="14.4" x14ac:dyDescent="0.3">
      <c r="A930" s="8"/>
      <c r="I930" s="7"/>
    </row>
    <row r="931" spans="1:9" ht="14.4" x14ac:dyDescent="0.3">
      <c r="A931" s="8"/>
      <c r="I931" s="7"/>
    </row>
    <row r="932" spans="1:9" ht="14.4" x14ac:dyDescent="0.3">
      <c r="A932" s="8"/>
      <c r="I932" s="7"/>
    </row>
    <row r="933" spans="1:9" ht="14.4" x14ac:dyDescent="0.3">
      <c r="A933" s="8"/>
      <c r="I933" s="7"/>
    </row>
    <row r="934" spans="1:9" ht="14.4" x14ac:dyDescent="0.3">
      <c r="A934" s="8"/>
      <c r="I934" s="7"/>
    </row>
    <row r="935" spans="1:9" ht="14.4" x14ac:dyDescent="0.3">
      <c r="A935" s="8"/>
      <c r="I935" s="7"/>
    </row>
    <row r="936" spans="1:9" ht="14.4" x14ac:dyDescent="0.3">
      <c r="A936" s="8"/>
      <c r="I936" s="7"/>
    </row>
    <row r="937" spans="1:9" ht="14.4" x14ac:dyDescent="0.3">
      <c r="A937" s="8"/>
      <c r="I937" s="7"/>
    </row>
    <row r="938" spans="1:9" ht="14.4" x14ac:dyDescent="0.3">
      <c r="A938" s="8"/>
      <c r="I938" s="7"/>
    </row>
    <row r="939" spans="1:9" ht="14.4" x14ac:dyDescent="0.3">
      <c r="A939" s="8"/>
      <c r="I939" s="7"/>
    </row>
    <row r="940" spans="1:9" ht="14.4" x14ac:dyDescent="0.3">
      <c r="A940" s="8"/>
      <c r="I940" s="7"/>
    </row>
    <row r="941" spans="1:9" ht="14.4" x14ac:dyDescent="0.3">
      <c r="A941" s="8"/>
      <c r="I941" s="7"/>
    </row>
    <row r="942" spans="1:9" ht="14.4" x14ac:dyDescent="0.3">
      <c r="A942" s="8"/>
      <c r="I942" s="7"/>
    </row>
    <row r="943" spans="1:9" ht="14.4" x14ac:dyDescent="0.3">
      <c r="A943" s="8"/>
      <c r="I943" s="7"/>
    </row>
    <row r="944" spans="1:9" ht="14.4" x14ac:dyDescent="0.3">
      <c r="A944" s="8"/>
      <c r="I944" s="7"/>
    </row>
    <row r="945" spans="1:9" ht="14.4" x14ac:dyDescent="0.3">
      <c r="A945" s="8"/>
      <c r="I945" s="7"/>
    </row>
    <row r="946" spans="1:9" ht="14.4" x14ac:dyDescent="0.3">
      <c r="A946" s="8"/>
      <c r="I946" s="7"/>
    </row>
    <row r="947" spans="1:9" ht="14.4" x14ac:dyDescent="0.3">
      <c r="A947" s="8"/>
      <c r="I947" s="7"/>
    </row>
    <row r="948" spans="1:9" ht="14.4" x14ac:dyDescent="0.3">
      <c r="A948" s="8"/>
      <c r="I948" s="7"/>
    </row>
    <row r="949" spans="1:9" ht="14.4" x14ac:dyDescent="0.3">
      <c r="A949" s="8"/>
      <c r="I949" s="7"/>
    </row>
    <row r="950" spans="1:9" ht="14.4" x14ac:dyDescent="0.3">
      <c r="A950" s="8"/>
      <c r="I950" s="7"/>
    </row>
    <row r="951" spans="1:9" ht="14.4" x14ac:dyDescent="0.3">
      <c r="A951" s="8"/>
      <c r="I951" s="7"/>
    </row>
    <row r="952" spans="1:9" ht="14.4" x14ac:dyDescent="0.3">
      <c r="A952" s="8"/>
      <c r="I952" s="7"/>
    </row>
    <row r="953" spans="1:9" ht="14.4" x14ac:dyDescent="0.3">
      <c r="A953" s="8"/>
      <c r="I953" s="7"/>
    </row>
    <row r="954" spans="1:9" ht="14.4" x14ac:dyDescent="0.3">
      <c r="A954" s="8"/>
      <c r="I954" s="7"/>
    </row>
    <row r="955" spans="1:9" ht="14.4" x14ac:dyDescent="0.3">
      <c r="A955" s="8"/>
      <c r="I955" s="7"/>
    </row>
    <row r="956" spans="1:9" ht="14.4" x14ac:dyDescent="0.3">
      <c r="A956" s="8"/>
      <c r="I956" s="7"/>
    </row>
    <row r="957" spans="1:9" ht="14.4" x14ac:dyDescent="0.3">
      <c r="A957" s="8"/>
      <c r="I957" s="7"/>
    </row>
    <row r="958" spans="1:9" ht="14.4" x14ac:dyDescent="0.3">
      <c r="A958" s="8"/>
      <c r="I958" s="7"/>
    </row>
    <row r="959" spans="1:9" ht="14.4" x14ac:dyDescent="0.3">
      <c r="A959" s="8"/>
      <c r="I959" s="7"/>
    </row>
    <row r="960" spans="1:9" ht="14.4" x14ac:dyDescent="0.3">
      <c r="A960" s="8"/>
      <c r="I960" s="7"/>
    </row>
    <row r="961" spans="1:9" ht="14.4" x14ac:dyDescent="0.3">
      <c r="A961" s="8"/>
      <c r="I961" s="7"/>
    </row>
    <row r="962" spans="1:9" ht="14.4" x14ac:dyDescent="0.3">
      <c r="A962" s="8"/>
      <c r="I962" s="7"/>
    </row>
    <row r="963" spans="1:9" ht="14.4" x14ac:dyDescent="0.3">
      <c r="A963" s="8"/>
      <c r="I963" s="7"/>
    </row>
    <row r="964" spans="1:9" ht="14.4" x14ac:dyDescent="0.3">
      <c r="A964" s="8"/>
      <c r="I964" s="7"/>
    </row>
    <row r="965" spans="1:9" ht="14.4" x14ac:dyDescent="0.3">
      <c r="A965" s="8"/>
      <c r="I965" s="7"/>
    </row>
    <row r="966" spans="1:9" ht="14.4" x14ac:dyDescent="0.3">
      <c r="A966" s="8"/>
      <c r="I966" s="7"/>
    </row>
    <row r="967" spans="1:9" ht="14.4" x14ac:dyDescent="0.3">
      <c r="A967" s="8"/>
      <c r="I967" s="7"/>
    </row>
    <row r="968" spans="1:9" ht="14.4" x14ac:dyDescent="0.3">
      <c r="A968" s="8"/>
      <c r="I968" s="7"/>
    </row>
    <row r="969" spans="1:9" ht="14.4" x14ac:dyDescent="0.3">
      <c r="A969" s="8"/>
      <c r="I969" s="7"/>
    </row>
    <row r="970" spans="1:9" ht="14.4" x14ac:dyDescent="0.3">
      <c r="A970" s="8"/>
      <c r="I970" s="7"/>
    </row>
    <row r="971" spans="1:9" ht="14.4" x14ac:dyDescent="0.3">
      <c r="A971" s="8"/>
      <c r="I971" s="7"/>
    </row>
    <row r="972" spans="1:9" ht="14.4" x14ac:dyDescent="0.3">
      <c r="A972" s="8"/>
      <c r="I972" s="7"/>
    </row>
    <row r="973" spans="1:9" ht="14.4" x14ac:dyDescent="0.3">
      <c r="A973" s="8"/>
      <c r="I973" s="7"/>
    </row>
    <row r="974" spans="1:9" ht="14.4" x14ac:dyDescent="0.3">
      <c r="A974" s="8"/>
      <c r="I974" s="7"/>
    </row>
    <row r="975" spans="1:9" ht="14.4" x14ac:dyDescent="0.3">
      <c r="A975" s="8"/>
      <c r="I975" s="7"/>
    </row>
    <row r="976" spans="1:9" ht="14.4" x14ac:dyDescent="0.3">
      <c r="A976" s="8"/>
      <c r="I976" s="7"/>
    </row>
    <row r="977" spans="1:9" ht="14.4" x14ac:dyDescent="0.3">
      <c r="A977" s="8"/>
      <c r="I977" s="7"/>
    </row>
    <row r="978" spans="1:9" ht="14.4" x14ac:dyDescent="0.3">
      <c r="A978" s="8"/>
      <c r="I978" s="7"/>
    </row>
    <row r="979" spans="1:9" ht="14.4" x14ac:dyDescent="0.3">
      <c r="A979" s="8"/>
      <c r="I979" s="7"/>
    </row>
    <row r="980" spans="1:9" ht="14.4" x14ac:dyDescent="0.3">
      <c r="A980" s="8"/>
      <c r="I980" s="7"/>
    </row>
    <row r="981" spans="1:9" ht="14.4" x14ac:dyDescent="0.3">
      <c r="A981" s="8"/>
      <c r="I981" s="7"/>
    </row>
    <row r="982" spans="1:9" ht="14.4" x14ac:dyDescent="0.3">
      <c r="A982" s="8"/>
      <c r="I982" s="7"/>
    </row>
    <row r="983" spans="1:9" ht="14.4" x14ac:dyDescent="0.3">
      <c r="A983" s="8"/>
      <c r="I983" s="7"/>
    </row>
    <row r="984" spans="1:9" ht="14.4" x14ac:dyDescent="0.3">
      <c r="A984" s="8"/>
      <c r="I984" s="7"/>
    </row>
    <row r="985" spans="1:9" ht="14.4" x14ac:dyDescent="0.3">
      <c r="A985" s="8"/>
      <c r="I985" s="7"/>
    </row>
    <row r="986" spans="1:9" ht="14.4" x14ac:dyDescent="0.3">
      <c r="A986" s="8"/>
      <c r="I986" s="7"/>
    </row>
    <row r="987" spans="1:9" ht="14.4" x14ac:dyDescent="0.3">
      <c r="A987" s="8"/>
      <c r="I987" s="7"/>
    </row>
    <row r="988" spans="1:9" ht="14.4" x14ac:dyDescent="0.3">
      <c r="A988" s="8"/>
      <c r="I988" s="7"/>
    </row>
    <row r="989" spans="1:9" ht="14.4" x14ac:dyDescent="0.3">
      <c r="A989" s="8"/>
      <c r="I989" s="7"/>
    </row>
    <row r="990" spans="1:9" ht="14.4" x14ac:dyDescent="0.3">
      <c r="A990" s="8"/>
      <c r="I990" s="7"/>
    </row>
    <row r="991" spans="1:9" ht="14.4" x14ac:dyDescent="0.3">
      <c r="A991" s="8"/>
      <c r="I991" s="7"/>
    </row>
    <row r="992" spans="1:9" ht="14.4" x14ac:dyDescent="0.3">
      <c r="A992" s="8"/>
      <c r="I992" s="7"/>
    </row>
    <row r="993" spans="1:9" ht="14.4" x14ac:dyDescent="0.3">
      <c r="A993" s="8"/>
      <c r="I993" s="7"/>
    </row>
    <row r="994" spans="1:9" ht="14.4" x14ac:dyDescent="0.3">
      <c r="A994" s="8"/>
      <c r="I994" s="7"/>
    </row>
    <row r="995" spans="1:9" ht="14.4" x14ac:dyDescent="0.3">
      <c r="A995" s="8"/>
      <c r="I995" s="7"/>
    </row>
    <row r="996" spans="1:9" ht="14.4" x14ac:dyDescent="0.3">
      <c r="A996" s="8"/>
      <c r="I996" s="7"/>
    </row>
    <row r="997" spans="1:9" ht="14.4" x14ac:dyDescent="0.3">
      <c r="A997" s="8"/>
      <c r="I997" s="7"/>
    </row>
    <row r="998" spans="1:9" ht="14.4" x14ac:dyDescent="0.3">
      <c r="A998" s="8"/>
      <c r="I998" s="7"/>
    </row>
    <row r="999" spans="1:9" ht="14.4" x14ac:dyDescent="0.3">
      <c r="A999" s="8"/>
      <c r="I999" s="7"/>
    </row>
    <row r="1000" spans="1:9" ht="14.4" x14ac:dyDescent="0.3">
      <c r="A1000" s="8"/>
      <c r="I1000" s="7"/>
    </row>
  </sheetData>
  <mergeCells count="42">
    <mergeCell ref="B36:H36"/>
    <mergeCell ref="B37:H37"/>
    <mergeCell ref="G40:H40"/>
    <mergeCell ref="G41:H42"/>
    <mergeCell ref="I41:I42"/>
    <mergeCell ref="A45:D45"/>
    <mergeCell ref="B30:H30"/>
    <mergeCell ref="B31:H31"/>
    <mergeCell ref="B32:H32"/>
    <mergeCell ref="B33:H33"/>
    <mergeCell ref="B34:H34"/>
    <mergeCell ref="B35:H35"/>
    <mergeCell ref="B24:H24"/>
    <mergeCell ref="B25:H25"/>
    <mergeCell ref="B26:H26"/>
    <mergeCell ref="B27:H27"/>
    <mergeCell ref="B28:H28"/>
    <mergeCell ref="B29:H29"/>
    <mergeCell ref="B19:H19"/>
    <mergeCell ref="B20:E23"/>
    <mergeCell ref="F20:H20"/>
    <mergeCell ref="F21:H21"/>
    <mergeCell ref="F22:H22"/>
    <mergeCell ref="F23:H23"/>
    <mergeCell ref="B14:H14"/>
    <mergeCell ref="B15:H15"/>
    <mergeCell ref="B16:H16"/>
    <mergeCell ref="B17:E18"/>
    <mergeCell ref="F17:H17"/>
    <mergeCell ref="F18:H18"/>
    <mergeCell ref="B8:H8"/>
    <mergeCell ref="B9:H9"/>
    <mergeCell ref="B10:H10"/>
    <mergeCell ref="B11:H11"/>
    <mergeCell ref="B12:H12"/>
    <mergeCell ref="B13:H13"/>
    <mergeCell ref="A1:I1"/>
    <mergeCell ref="A2:I2"/>
    <mergeCell ref="D3:E3"/>
    <mergeCell ref="B5:H5"/>
    <mergeCell ref="B6:H6"/>
    <mergeCell ref="B7:H7"/>
  </mergeCells>
  <pageMargins left="0.7" right="0.7" top="0.75" bottom="0.75" header="0" footer="0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DNKA VERTIKAL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2026-05-10T12:34:17Z</dcterms:created>
  <dcterms:modified xsi:type="dcterms:W3CDTF">2026-05-10T12:35:05Z</dcterms:modified>
</cp:coreProperties>
</file>