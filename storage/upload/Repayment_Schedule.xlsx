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_kredit_pensiun\system_kredit_pensiun\storage\upload\"/>
    </mc:Choice>
  </mc:AlternateContent>
  <xr:revisionPtr revIDLastSave="0" documentId="13_ncr:1_{92FCA6A8-1611-400C-BDCB-91C48EFD90B3}" xr6:coauthVersionLast="47" xr6:coauthVersionMax="47" xr10:uidLastSave="{00000000-0000-0000-0000-000000000000}"/>
  <bookViews>
    <workbookView xWindow="1920" yWindow="1236" windowWidth="19512" windowHeight="11724" xr2:uid="{72C8F9BF-8959-4B69-B7FC-8C20E5C96C9B}"/>
  </bookViews>
  <sheets>
    <sheet name="REPAYMENT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" l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17" i="1"/>
  <c r="B16" i="1"/>
  <c r="C15" i="1"/>
  <c r="F10" i="1"/>
  <c r="E15" i="1" s="1"/>
  <c r="D15" i="1" l="1"/>
  <c r="G15" i="1" s="1"/>
  <c r="F15" i="1"/>
  <c r="C16" i="1" l="1"/>
  <c r="E16" i="1"/>
  <c r="D16" i="1" l="1"/>
  <c r="F16" i="1" l="1"/>
  <c r="G16" i="1"/>
  <c r="E17" i="1" l="1"/>
  <c r="C17" i="1"/>
  <c r="D17" i="1" l="1"/>
  <c r="F17" i="1" l="1"/>
  <c r="G17" i="1"/>
  <c r="E18" i="1" l="1"/>
  <c r="C18" i="1"/>
  <c r="D18" i="1" l="1"/>
  <c r="G18" i="1" s="1"/>
  <c r="E19" i="1" l="1"/>
  <c r="C19" i="1"/>
  <c r="F18" i="1"/>
  <c r="D19" i="1" l="1"/>
  <c r="G19" i="1" s="1"/>
  <c r="C20" i="1" l="1"/>
  <c r="E20" i="1"/>
  <c r="F19" i="1"/>
  <c r="D20" i="1" l="1"/>
  <c r="F20" i="1" s="1"/>
  <c r="G20" i="1" l="1"/>
  <c r="E21" i="1" s="1"/>
  <c r="C21" i="1" l="1"/>
  <c r="D21" i="1"/>
  <c r="G21" i="1" l="1"/>
  <c r="E22" i="1" s="1"/>
  <c r="F21" i="1"/>
  <c r="C22" i="1" l="1"/>
  <c r="D22" i="1"/>
  <c r="G22" i="1" l="1"/>
  <c r="E23" i="1" s="1"/>
  <c r="C23" i="1"/>
  <c r="F22" i="1"/>
  <c r="D23" i="1" l="1"/>
  <c r="G23" i="1" s="1"/>
  <c r="C24" i="1" l="1"/>
  <c r="E24" i="1"/>
  <c r="F23" i="1"/>
  <c r="D24" i="1" l="1"/>
  <c r="F24" i="1" s="1"/>
  <c r="G24" i="1" l="1"/>
  <c r="E25" i="1" s="1"/>
  <c r="C25" i="1" l="1"/>
  <c r="D25" i="1"/>
  <c r="G25" i="1" l="1"/>
  <c r="C26" i="1" s="1"/>
  <c r="F25" i="1"/>
  <c r="E26" i="1" l="1"/>
  <c r="D26" i="1" s="1"/>
  <c r="F26" i="1" s="1"/>
  <c r="G26" i="1" l="1"/>
  <c r="E27" i="1" s="1"/>
  <c r="C27" i="1" l="1"/>
  <c r="D27" i="1"/>
  <c r="G27" i="1" s="1"/>
  <c r="E28" i="1" l="1"/>
  <c r="C28" i="1"/>
  <c r="F27" i="1"/>
  <c r="D28" i="1" l="1"/>
  <c r="G28" i="1" s="1"/>
  <c r="E29" i="1" l="1"/>
  <c r="C29" i="1"/>
  <c r="F28" i="1"/>
  <c r="D29" i="1" l="1"/>
  <c r="G29" i="1" s="1"/>
  <c r="C30" i="1" l="1"/>
  <c r="E30" i="1"/>
  <c r="F29" i="1"/>
  <c r="D30" i="1" l="1"/>
  <c r="F30" i="1" s="1"/>
  <c r="G30" i="1" l="1"/>
  <c r="C31" i="1" l="1"/>
  <c r="E31" i="1"/>
  <c r="D31" i="1" l="1"/>
  <c r="F31" i="1" s="1"/>
  <c r="G31" i="1" l="1"/>
  <c r="E32" i="1" l="1"/>
  <c r="C32" i="1"/>
  <c r="D32" i="1" l="1"/>
  <c r="G32" i="1" s="1"/>
  <c r="E33" i="1" l="1"/>
  <c r="C33" i="1"/>
  <c r="F32" i="1"/>
  <c r="D33" i="1" l="1"/>
  <c r="G33" i="1" s="1"/>
  <c r="E34" i="1" l="1"/>
  <c r="C34" i="1"/>
  <c r="F33" i="1"/>
  <c r="D34" i="1" l="1"/>
  <c r="G34" i="1" s="1"/>
  <c r="C35" i="1" l="1"/>
  <c r="E35" i="1"/>
  <c r="F34" i="1"/>
  <c r="D35" i="1" l="1"/>
  <c r="F35" i="1" s="1"/>
  <c r="G35" i="1" l="1"/>
  <c r="E36" i="1" l="1"/>
  <c r="C36" i="1"/>
  <c r="D36" i="1" l="1"/>
  <c r="G36" i="1" s="1"/>
  <c r="E37" i="1" l="1"/>
  <c r="C37" i="1"/>
  <c r="F36" i="1"/>
  <c r="D37" i="1" l="1"/>
  <c r="G37" i="1" s="1"/>
  <c r="E38" i="1" l="1"/>
  <c r="C38" i="1"/>
  <c r="F37" i="1"/>
  <c r="D38" i="1" l="1"/>
  <c r="G38" i="1" s="1"/>
  <c r="C39" i="1" l="1"/>
  <c r="E39" i="1"/>
  <c r="F38" i="1"/>
  <c r="D39" i="1" l="1"/>
  <c r="F39" i="1" s="1"/>
  <c r="G39" i="1" l="1"/>
  <c r="E40" i="1" l="1"/>
  <c r="C40" i="1"/>
  <c r="D40" i="1" l="1"/>
  <c r="G40" i="1" s="1"/>
  <c r="E41" i="1" l="1"/>
  <c r="C41" i="1"/>
  <c r="F40" i="1"/>
  <c r="D41" i="1" l="1"/>
  <c r="G41" i="1" s="1"/>
  <c r="E42" i="1" l="1"/>
  <c r="C42" i="1"/>
  <c r="F41" i="1"/>
  <c r="D42" i="1" l="1"/>
  <c r="G42" i="1" s="1"/>
  <c r="C43" i="1" l="1"/>
  <c r="E43" i="1"/>
  <c r="F42" i="1"/>
  <c r="D43" i="1" l="1"/>
  <c r="F43" i="1" s="1"/>
  <c r="G43" i="1" l="1"/>
  <c r="E44" i="1" l="1"/>
  <c r="C44" i="1"/>
  <c r="D44" i="1" l="1"/>
  <c r="G44" i="1" s="1"/>
  <c r="E45" i="1" l="1"/>
  <c r="C45" i="1"/>
  <c r="F44" i="1"/>
  <c r="D45" i="1" l="1"/>
  <c r="G45" i="1" s="1"/>
  <c r="E46" i="1" l="1"/>
  <c r="C46" i="1"/>
  <c r="F45" i="1"/>
  <c r="D46" i="1" l="1"/>
  <c r="G46" i="1" s="1"/>
  <c r="C47" i="1" l="1"/>
  <c r="E47" i="1"/>
  <c r="F46" i="1"/>
  <c r="D47" i="1" l="1"/>
  <c r="F47" i="1" s="1"/>
  <c r="G47" i="1" l="1"/>
  <c r="E48" i="1" l="1"/>
  <c r="C48" i="1"/>
  <c r="D48" i="1" l="1"/>
  <c r="G48" i="1" s="1"/>
  <c r="E49" i="1" l="1"/>
  <c r="C49" i="1"/>
  <c r="F48" i="1"/>
  <c r="D49" i="1" l="1"/>
  <c r="G49" i="1" s="1"/>
  <c r="E50" i="1" l="1"/>
  <c r="C50" i="1"/>
  <c r="F49" i="1"/>
  <c r="D50" i="1" l="1"/>
  <c r="G50" i="1" s="1"/>
  <c r="C51" i="1" l="1"/>
  <c r="E51" i="1"/>
  <c r="F50" i="1"/>
  <c r="D51" i="1" l="1"/>
  <c r="F51" i="1" s="1"/>
  <c r="G51" i="1" l="1"/>
  <c r="E52" i="1" l="1"/>
  <c r="C52" i="1"/>
  <c r="D52" i="1" l="1"/>
  <c r="G52" i="1" s="1"/>
  <c r="E53" i="1" l="1"/>
  <c r="C53" i="1"/>
  <c r="F52" i="1"/>
  <c r="D53" i="1" l="1"/>
  <c r="G53" i="1" s="1"/>
  <c r="E54" i="1" l="1"/>
  <c r="C54" i="1"/>
  <c r="F53" i="1"/>
  <c r="D54" i="1" l="1"/>
  <c r="G54" i="1" s="1"/>
  <c r="C55" i="1" l="1"/>
  <c r="E55" i="1"/>
  <c r="F54" i="1"/>
  <c r="D55" i="1" l="1"/>
  <c r="F55" i="1" s="1"/>
  <c r="G55" i="1" l="1"/>
  <c r="E56" i="1" l="1"/>
  <c r="C56" i="1"/>
  <c r="D56" i="1" l="1"/>
  <c r="G56" i="1" s="1"/>
  <c r="E57" i="1" l="1"/>
  <c r="C57" i="1"/>
  <c r="F56" i="1"/>
  <c r="D57" i="1" l="1"/>
  <c r="G57" i="1" s="1"/>
  <c r="E58" i="1" l="1"/>
  <c r="C58" i="1"/>
  <c r="F57" i="1"/>
  <c r="D58" i="1" l="1"/>
  <c r="G58" i="1" s="1"/>
  <c r="C59" i="1" l="1"/>
  <c r="E59" i="1"/>
  <c r="F58" i="1"/>
  <c r="D59" i="1" l="1"/>
  <c r="F59" i="1" s="1"/>
  <c r="G59" i="1" l="1"/>
  <c r="E60" i="1" l="1"/>
  <c r="C60" i="1"/>
  <c r="D60" i="1" l="1"/>
  <c r="G60" i="1" s="1"/>
  <c r="E61" i="1" l="1"/>
  <c r="C61" i="1"/>
  <c r="F60" i="1"/>
  <c r="D61" i="1" l="1"/>
  <c r="G61" i="1" s="1"/>
  <c r="E62" i="1" l="1"/>
  <c r="C62" i="1"/>
  <c r="F61" i="1"/>
  <c r="D62" i="1" l="1"/>
  <c r="D65" i="1" s="1"/>
  <c r="E65" i="1"/>
  <c r="F62" i="1" l="1"/>
  <c r="G62" i="1"/>
</calcChain>
</file>

<file path=xl/sharedStrings.xml><?xml version="1.0" encoding="utf-8"?>
<sst xmlns="http://schemas.openxmlformats.org/spreadsheetml/2006/main" count="17" uniqueCount="15">
  <si>
    <t>REPAYMENT SCHEDULE FE</t>
  </si>
  <si>
    <t>Plafond Kredit</t>
  </si>
  <si>
    <t>Jangka Waktu (Tahun)</t>
  </si>
  <si>
    <t>Jangka Waktu (Bulan)</t>
  </si>
  <si>
    <t>Suku Bunga p.a</t>
  </si>
  <si>
    <t>Bunga per Bulan</t>
  </si>
  <si>
    <t>Angsuran</t>
  </si>
  <si>
    <t>Tanggal Dropping</t>
  </si>
  <si>
    <t>Hari</t>
  </si>
  <si>
    <t>Due Date Pertama</t>
  </si>
  <si>
    <t>Bulan Ke-</t>
  </si>
  <si>
    <t>Pokok</t>
  </si>
  <si>
    <t>Total Bayar</t>
  </si>
  <si>
    <t>Sisa Pokok</t>
  </si>
  <si>
    <t>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</si>
</sst>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_(* #,##0.0_);_(* \(#,##0.0\);_(* &quot;-&quot;?_);_(@_)"/>
    <numFmt numFmtId="167" formatCode="_ * #,##0.00_ ;_ * \-#,##0.00_ ;_ * &quot;-&quot;??_ ;_ @_ "/>
    <numFmt numFmtId="168" formatCode="0_);[Red]\(0\)"/>
    <numFmt numFmtId="169" formatCode="0.0%"/>
    <numFmt numFmtId="170" formatCode="m/d/yyyy"/>
  </numFmts>
  <fonts count="6" x14ac:knownFonts="1">
    <font>
      <sz val="10"/>
      <color rgb="FF000000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FF"/>
      <name val="Calibri"/>
    </font>
    <font>
      <b/>
      <sz val="11"/>
      <color rgb="FFFFFFFF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" fontId="2" fillId="0" borderId="0" xfId="0" applyNumberFormat="1" applyFont="1" applyAlignment="1">
      <alignment vertical="center"/>
    </xf>
    <xf numFmtId="166" fontId="1" fillId="2" borderId="0" xfId="0" applyNumberFormat="1" applyFont="1" applyFill="1" applyAlignment="1">
      <alignment horizontal="left" vertical="center"/>
    </xf>
    <xf numFmtId="1" fontId="2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left" vertical="center"/>
    </xf>
    <xf numFmtId="167" fontId="1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69" fontId="2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left" vertical="center"/>
    </xf>
    <xf numFmtId="10" fontId="4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4" fontId="1" fillId="2" borderId="0" xfId="0" applyNumberFormat="1" applyFont="1" applyFill="1" applyAlignment="1">
      <alignment horizontal="left" vertical="center"/>
    </xf>
    <xf numFmtId="17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1" fillId="0" borderId="5" xfId="0" applyNumberFormat="1" applyFont="1" applyBorder="1" applyAlignment="1">
      <alignment vertical="center"/>
    </xf>
    <xf numFmtId="4" fontId="1" fillId="2" borderId="5" xfId="0" applyNumberFormat="1" applyFont="1" applyFill="1" applyBorder="1" applyAlignment="1">
      <alignment vertical="center"/>
    </xf>
    <xf numFmtId="40" fontId="1" fillId="0" borderId="5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0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4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4C8E-33B4-4412-9033-1634E9AA33F0}">
  <dimension ref="A1:Z1000"/>
  <sheetViews>
    <sheetView tabSelected="1" workbookViewId="0">
      <selection activeCell="G15" sqref="G15"/>
    </sheetView>
  </sheetViews>
  <sheetFormatPr defaultColWidth="12.6640625" defaultRowHeight="15.75" customHeight="1" x14ac:dyDescent="0.3"/>
  <cols>
    <col min="1" max="1" width="8" customWidth="1"/>
    <col min="2" max="2" width="9.88671875" customWidth="1"/>
    <col min="3" max="3" width="13.33203125" customWidth="1"/>
    <col min="4" max="4" width="16.109375" customWidth="1"/>
    <col min="5" max="6" width="13.109375" customWidth="1"/>
    <col min="7" max="9" width="13.33203125" customWidth="1"/>
    <col min="10" max="26" width="8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2" t="s">
        <v>0</v>
      </c>
      <c r="C2" s="1"/>
      <c r="D2" s="1"/>
      <c r="E2" s="1"/>
      <c r="F2" s="3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/>
      <c r="C3" s="1"/>
      <c r="D3" s="1"/>
      <c r="E3" s="1"/>
      <c r="F3" s="3"/>
      <c r="G3" s="4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/>
      <c r="B4" s="2" t="s">
        <v>1</v>
      </c>
      <c r="C4" s="5"/>
      <c r="D4" s="6">
        <v>100000000</v>
      </c>
      <c r="E4" s="7"/>
      <c r="F4" s="3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/>
      <c r="B5" s="2" t="s">
        <v>2</v>
      </c>
      <c r="C5" s="5"/>
      <c r="D5" s="8">
        <v>9</v>
      </c>
      <c r="E5" s="9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2" t="s">
        <v>3</v>
      </c>
      <c r="C6" s="5"/>
      <c r="D6" s="11">
        <v>104</v>
      </c>
      <c r="E6" s="9"/>
      <c r="F6" s="3"/>
      <c r="G6" s="12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/>
      <c r="B7" s="2" t="s">
        <v>4</v>
      </c>
      <c r="C7" s="5"/>
      <c r="D7" s="13">
        <v>0.1</v>
      </c>
      <c r="E7" s="14"/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2" t="s">
        <v>5</v>
      </c>
      <c r="C8" s="5"/>
      <c r="D8" s="16">
        <v>8.3333333333333332E-3</v>
      </c>
      <c r="E8" s="14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2" t="s">
        <v>6</v>
      </c>
      <c r="C9" s="5"/>
      <c r="D9" s="6">
        <v>1441410.6488779453</v>
      </c>
      <c r="E9" s="18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2" t="s">
        <v>7</v>
      </c>
      <c r="C10" s="1"/>
      <c r="D10" s="19">
        <v>45996</v>
      </c>
      <c r="E10" s="9"/>
      <c r="F10" s="2">
        <f>D11-D10+1</f>
        <v>55</v>
      </c>
      <c r="G10" s="2" t="s">
        <v>8</v>
      </c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20" t="s">
        <v>9</v>
      </c>
      <c r="C11" s="21"/>
      <c r="D11" s="19">
        <v>46050</v>
      </c>
      <c r="E11" s="9"/>
      <c r="F11" s="21"/>
      <c r="G11" s="21"/>
      <c r="H11" s="2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22"/>
      <c r="C12" s="21"/>
      <c r="D12" s="21"/>
      <c r="E12" s="21"/>
      <c r="F12" s="21"/>
      <c r="G12" s="21"/>
      <c r="H12" s="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30" t="s">
        <v>10</v>
      </c>
      <c r="C13" s="32" t="s">
        <v>11</v>
      </c>
      <c r="D13" s="33" t="s">
        <v>6</v>
      </c>
      <c r="E13" s="34"/>
      <c r="F13" s="32" t="s">
        <v>12</v>
      </c>
      <c r="G13" s="32" t="s">
        <v>13</v>
      </c>
      <c r="H13" s="2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31"/>
      <c r="C14" s="31"/>
      <c r="D14" s="23" t="s">
        <v>11</v>
      </c>
      <c r="E14" s="23" t="s">
        <v>14</v>
      </c>
      <c r="F14" s="31"/>
      <c r="G14" s="31"/>
      <c r="H14" s="21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24">
        <v>1</v>
      </c>
      <c r="C15" s="25">
        <f>+D4</f>
        <v>100000000</v>
      </c>
      <c r="D15" s="26">
        <f>+D9-E15</f>
        <v>-86367.128899832722</v>
      </c>
      <c r="E15" s="26">
        <f>D4*D7*(F10/360)</f>
        <v>1527777.777777778</v>
      </c>
      <c r="F15" s="25">
        <f t="shared" ref="F15:F62" si="0">+E15+D15</f>
        <v>1441410.6488779453</v>
      </c>
      <c r="G15" s="27">
        <f t="shared" ref="G15:G62" si="1">+C15-D15</f>
        <v>100086367.12889983</v>
      </c>
      <c r="H15" s="28"/>
      <c r="I15" s="2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24">
        <f t="shared" ref="B16:B62" si="2">+B15+1</f>
        <v>2</v>
      </c>
      <c r="C16" s="25">
        <f t="shared" ref="C16:C62" si="3">+G15</f>
        <v>100086367.12889983</v>
      </c>
      <c r="D16" s="26">
        <f t="shared" ref="D16:D62" si="4">IF(ROW()-14=$D$6,$D$9-E16+(G15-($D$9-E16)),$D$9-E16)</f>
        <v>607357.58947044669</v>
      </c>
      <c r="E16" s="26">
        <f t="shared" ref="E16:E62" si="5">+$D$8*G15</f>
        <v>834053.05940749857</v>
      </c>
      <c r="F16" s="25">
        <f t="shared" si="0"/>
        <v>1441410.6488779453</v>
      </c>
      <c r="G16" s="27">
        <f t="shared" si="1"/>
        <v>99479009.539429381</v>
      </c>
      <c r="H16" s="28"/>
      <c r="I16" s="2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24">
        <f t="shared" si="2"/>
        <v>3</v>
      </c>
      <c r="C17" s="25">
        <f t="shared" si="3"/>
        <v>99479009.539429381</v>
      </c>
      <c r="D17" s="26">
        <f t="shared" si="4"/>
        <v>612418.90271603374</v>
      </c>
      <c r="E17" s="26">
        <f t="shared" si="5"/>
        <v>828991.74616191152</v>
      </c>
      <c r="F17" s="25">
        <f t="shared" si="0"/>
        <v>1441410.6488779453</v>
      </c>
      <c r="G17" s="27">
        <f t="shared" si="1"/>
        <v>98866590.636713341</v>
      </c>
      <c r="H17" s="29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24">
        <f t="shared" si="2"/>
        <v>4</v>
      </c>
      <c r="C18" s="25">
        <f t="shared" si="3"/>
        <v>98866590.636713341</v>
      </c>
      <c r="D18" s="26">
        <f t="shared" si="4"/>
        <v>617522.39357200079</v>
      </c>
      <c r="E18" s="26">
        <f t="shared" si="5"/>
        <v>823888.25530594448</v>
      </c>
      <c r="F18" s="25">
        <f t="shared" si="0"/>
        <v>1441410.6488779453</v>
      </c>
      <c r="G18" s="27">
        <f t="shared" si="1"/>
        <v>98249068.243141338</v>
      </c>
      <c r="H18" s="2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24">
        <f t="shared" si="2"/>
        <v>5</v>
      </c>
      <c r="C19" s="25">
        <f t="shared" si="3"/>
        <v>98249068.243141338</v>
      </c>
      <c r="D19" s="26">
        <f t="shared" si="4"/>
        <v>622668.41351843416</v>
      </c>
      <c r="E19" s="26">
        <f t="shared" si="5"/>
        <v>818742.23535951111</v>
      </c>
      <c r="F19" s="25">
        <f t="shared" si="0"/>
        <v>1441410.6488779453</v>
      </c>
      <c r="G19" s="27">
        <f t="shared" si="1"/>
        <v>97626399.829622909</v>
      </c>
      <c r="H19" s="2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24">
        <f t="shared" si="2"/>
        <v>6</v>
      </c>
      <c r="C20" s="25">
        <f t="shared" si="3"/>
        <v>97626399.829622909</v>
      </c>
      <c r="D20" s="26">
        <f t="shared" si="4"/>
        <v>627857.31696442107</v>
      </c>
      <c r="E20" s="26">
        <f t="shared" si="5"/>
        <v>813553.33191352419</v>
      </c>
      <c r="F20" s="25">
        <f t="shared" si="0"/>
        <v>1441410.6488779453</v>
      </c>
      <c r="G20" s="27">
        <f t="shared" si="1"/>
        <v>96998542.512658492</v>
      </c>
      <c r="H20" s="2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4">
        <f t="shared" si="2"/>
        <v>7</v>
      </c>
      <c r="C21" s="25">
        <f t="shared" si="3"/>
        <v>96998542.512658492</v>
      </c>
      <c r="D21" s="26">
        <f t="shared" si="4"/>
        <v>633089.46127245785</v>
      </c>
      <c r="E21" s="26">
        <f t="shared" si="5"/>
        <v>808321.18760548742</v>
      </c>
      <c r="F21" s="25">
        <f t="shared" si="0"/>
        <v>1441410.6488779453</v>
      </c>
      <c r="G21" s="27">
        <f t="shared" si="1"/>
        <v>96365453.051386029</v>
      </c>
      <c r="H21" s="2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4">
        <f t="shared" si="2"/>
        <v>8</v>
      </c>
      <c r="C22" s="25">
        <f t="shared" si="3"/>
        <v>96365453.051386029</v>
      </c>
      <c r="D22" s="26">
        <f t="shared" si="4"/>
        <v>638365.20678306173</v>
      </c>
      <c r="E22" s="26">
        <f t="shared" si="5"/>
        <v>803045.44209488353</v>
      </c>
      <c r="F22" s="25">
        <f t="shared" si="0"/>
        <v>1441410.6488779453</v>
      </c>
      <c r="G22" s="27">
        <f t="shared" si="1"/>
        <v>95727087.844602972</v>
      </c>
      <c r="H22" s="2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4">
        <f t="shared" si="2"/>
        <v>9</v>
      </c>
      <c r="C23" s="25">
        <f t="shared" si="3"/>
        <v>95727087.844602972</v>
      </c>
      <c r="D23" s="26">
        <f t="shared" si="4"/>
        <v>643684.91683958715</v>
      </c>
      <c r="E23" s="26">
        <f t="shared" si="5"/>
        <v>797725.73203835811</v>
      </c>
      <c r="F23" s="25">
        <f t="shared" si="0"/>
        <v>1441410.6488779453</v>
      </c>
      <c r="G23" s="27">
        <f t="shared" si="1"/>
        <v>95083402.927763388</v>
      </c>
      <c r="H23" s="2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4">
        <f t="shared" si="2"/>
        <v>10</v>
      </c>
      <c r="C24" s="25">
        <f t="shared" si="3"/>
        <v>95083402.927763388</v>
      </c>
      <c r="D24" s="26">
        <f t="shared" si="4"/>
        <v>649048.95781325037</v>
      </c>
      <c r="E24" s="26">
        <f t="shared" si="5"/>
        <v>792361.6910646949</v>
      </c>
      <c r="F24" s="25">
        <f t="shared" si="0"/>
        <v>1441410.6488779453</v>
      </c>
      <c r="G24" s="27">
        <f t="shared" si="1"/>
        <v>94434353.96995014</v>
      </c>
      <c r="H24" s="2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4">
        <f t="shared" si="2"/>
        <v>11</v>
      </c>
      <c r="C25" s="25">
        <f t="shared" si="3"/>
        <v>94434353.96995014</v>
      </c>
      <c r="D25" s="26">
        <f t="shared" si="4"/>
        <v>654457.69912836072</v>
      </c>
      <c r="E25" s="26">
        <f t="shared" si="5"/>
        <v>786952.94974958454</v>
      </c>
      <c r="F25" s="25">
        <f t="shared" si="0"/>
        <v>1441410.6488779453</v>
      </c>
      <c r="G25" s="27">
        <f t="shared" si="1"/>
        <v>93779896.27082178</v>
      </c>
      <c r="H25" s="2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4">
        <f t="shared" si="2"/>
        <v>12</v>
      </c>
      <c r="C26" s="25">
        <f t="shared" si="3"/>
        <v>93779896.27082178</v>
      </c>
      <c r="D26" s="26">
        <f t="shared" si="4"/>
        <v>659911.51328776381</v>
      </c>
      <c r="E26" s="26">
        <f t="shared" si="5"/>
        <v>781499.13559018145</v>
      </c>
      <c r="F26" s="25">
        <f t="shared" si="0"/>
        <v>1441410.6488779453</v>
      </c>
      <c r="G26" s="27">
        <f t="shared" si="1"/>
        <v>93119984.757534012</v>
      </c>
      <c r="H26" s="2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4">
        <f t="shared" si="2"/>
        <v>13</v>
      </c>
      <c r="C27" s="25">
        <f t="shared" si="3"/>
        <v>93119984.757534012</v>
      </c>
      <c r="D27" s="26">
        <f t="shared" si="4"/>
        <v>665410.77589849522</v>
      </c>
      <c r="E27" s="26">
        <f t="shared" si="5"/>
        <v>775999.87297945004</v>
      </c>
      <c r="F27" s="25">
        <f t="shared" si="0"/>
        <v>1441410.6488779453</v>
      </c>
      <c r="G27" s="27">
        <f t="shared" si="1"/>
        <v>92454573.981635511</v>
      </c>
      <c r="H27" s="2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1"/>
      <c r="B28" s="24">
        <f t="shared" si="2"/>
        <v>14</v>
      </c>
      <c r="C28" s="25">
        <f t="shared" si="3"/>
        <v>92454573.981635511</v>
      </c>
      <c r="D28" s="26">
        <f t="shared" si="4"/>
        <v>670955.86569764931</v>
      </c>
      <c r="E28" s="26">
        <f t="shared" si="5"/>
        <v>770454.78318029596</v>
      </c>
      <c r="F28" s="25">
        <f t="shared" si="0"/>
        <v>1441410.6488779453</v>
      </c>
      <c r="G28" s="27">
        <f t="shared" si="1"/>
        <v>91783618.115937859</v>
      </c>
      <c r="H28" s="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1"/>
      <c r="B29" s="24">
        <f t="shared" si="2"/>
        <v>15</v>
      </c>
      <c r="C29" s="25">
        <f t="shared" si="3"/>
        <v>91783618.115937859</v>
      </c>
      <c r="D29" s="26">
        <f t="shared" si="4"/>
        <v>676547.16457846307</v>
      </c>
      <c r="E29" s="26">
        <f t="shared" si="5"/>
        <v>764863.4842994822</v>
      </c>
      <c r="F29" s="25">
        <f t="shared" si="0"/>
        <v>1441410.6488779453</v>
      </c>
      <c r="G29" s="27">
        <f t="shared" si="1"/>
        <v>91107070.951359391</v>
      </c>
      <c r="H29" s="2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1"/>
      <c r="B30" s="24">
        <f t="shared" si="2"/>
        <v>16</v>
      </c>
      <c r="C30" s="25">
        <f t="shared" si="3"/>
        <v>91107070.951359391</v>
      </c>
      <c r="D30" s="26">
        <f t="shared" si="4"/>
        <v>682185.05761661706</v>
      </c>
      <c r="E30" s="26">
        <f t="shared" si="5"/>
        <v>759225.5912613282</v>
      </c>
      <c r="F30" s="25">
        <f t="shared" si="0"/>
        <v>1441410.6488779453</v>
      </c>
      <c r="G30" s="27">
        <f t="shared" si="1"/>
        <v>90424885.89374277</v>
      </c>
      <c r="H30" s="2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1"/>
      <c r="B31" s="24">
        <f t="shared" si="2"/>
        <v>17</v>
      </c>
      <c r="C31" s="25">
        <f t="shared" si="3"/>
        <v>90424885.89374277</v>
      </c>
      <c r="D31" s="26">
        <f t="shared" si="4"/>
        <v>687869.93309675553</v>
      </c>
      <c r="E31" s="26">
        <f t="shared" si="5"/>
        <v>753540.71578118973</v>
      </c>
      <c r="F31" s="25">
        <f t="shared" si="0"/>
        <v>1441410.6488779453</v>
      </c>
      <c r="G31" s="27">
        <f t="shared" si="1"/>
        <v>89737015.960646018</v>
      </c>
      <c r="H31" s="2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1"/>
      <c r="B32" s="24">
        <f t="shared" si="2"/>
        <v>18</v>
      </c>
      <c r="C32" s="25">
        <f t="shared" si="3"/>
        <v>89737015.960646018</v>
      </c>
      <c r="D32" s="26">
        <f t="shared" si="4"/>
        <v>693602.18253922847</v>
      </c>
      <c r="E32" s="26">
        <f t="shared" si="5"/>
        <v>747808.4663387168</v>
      </c>
      <c r="F32" s="25">
        <f t="shared" si="0"/>
        <v>1441410.6488779453</v>
      </c>
      <c r="G32" s="27">
        <f t="shared" si="1"/>
        <v>89043413.778106794</v>
      </c>
      <c r="H32" s="2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1"/>
      <c r="B33" s="24">
        <f t="shared" si="2"/>
        <v>19</v>
      </c>
      <c r="C33" s="25">
        <f t="shared" si="3"/>
        <v>89043413.778106794</v>
      </c>
      <c r="D33" s="26">
        <f t="shared" si="4"/>
        <v>699382.20072705531</v>
      </c>
      <c r="E33" s="26">
        <f t="shared" si="5"/>
        <v>742028.44815088995</v>
      </c>
      <c r="F33" s="25">
        <f t="shared" si="0"/>
        <v>1441410.6488779453</v>
      </c>
      <c r="G33" s="27">
        <f t="shared" si="1"/>
        <v>88344031.577379733</v>
      </c>
      <c r="H33" s="2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1"/>
      <c r="B34" s="24">
        <f t="shared" si="2"/>
        <v>20</v>
      </c>
      <c r="C34" s="25">
        <f t="shared" si="3"/>
        <v>88344031.577379733</v>
      </c>
      <c r="D34" s="26">
        <f t="shared" si="4"/>
        <v>705210.38573311421</v>
      </c>
      <c r="E34" s="26">
        <f t="shared" si="5"/>
        <v>736200.26314483106</v>
      </c>
      <c r="F34" s="25">
        <f t="shared" si="0"/>
        <v>1441410.6488779453</v>
      </c>
      <c r="G34" s="27">
        <f t="shared" si="1"/>
        <v>87638821.191646621</v>
      </c>
      <c r="H34" s="2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"/>
      <c r="B35" s="24">
        <f t="shared" si="2"/>
        <v>21</v>
      </c>
      <c r="C35" s="25">
        <f t="shared" si="3"/>
        <v>87638821.191646621</v>
      </c>
      <c r="D35" s="26">
        <f t="shared" si="4"/>
        <v>711087.13894755673</v>
      </c>
      <c r="E35" s="26">
        <f t="shared" si="5"/>
        <v>730323.50993038854</v>
      </c>
      <c r="F35" s="25">
        <f t="shared" si="0"/>
        <v>1441410.6488779453</v>
      </c>
      <c r="G35" s="27">
        <f t="shared" si="1"/>
        <v>86927734.052699059</v>
      </c>
      <c r="H35" s="2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"/>
      <c r="B36" s="24">
        <f t="shared" si="2"/>
        <v>22</v>
      </c>
      <c r="C36" s="25">
        <f t="shared" si="3"/>
        <v>86927734.052699059</v>
      </c>
      <c r="D36" s="26">
        <f t="shared" si="4"/>
        <v>717012.86510545306</v>
      </c>
      <c r="E36" s="26">
        <f t="shared" si="5"/>
        <v>724397.7837724922</v>
      </c>
      <c r="F36" s="25">
        <f t="shared" si="0"/>
        <v>1441410.6488779453</v>
      </c>
      <c r="G36" s="27">
        <f t="shared" si="1"/>
        <v>86210721.187593609</v>
      </c>
      <c r="H36" s="2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"/>
      <c r="B37" s="24">
        <f t="shared" si="2"/>
        <v>23</v>
      </c>
      <c r="C37" s="25">
        <f t="shared" si="3"/>
        <v>86210721.187593609</v>
      </c>
      <c r="D37" s="26">
        <f t="shared" si="4"/>
        <v>722987.97231466521</v>
      </c>
      <c r="E37" s="26">
        <f t="shared" si="5"/>
        <v>718422.67656328005</v>
      </c>
      <c r="F37" s="25">
        <f t="shared" si="0"/>
        <v>1441410.6488779453</v>
      </c>
      <c r="G37" s="27">
        <f t="shared" si="1"/>
        <v>85487733.215278938</v>
      </c>
      <c r="H37" s="2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"/>
      <c r="B38" s="24">
        <f t="shared" si="2"/>
        <v>24</v>
      </c>
      <c r="C38" s="25">
        <f t="shared" si="3"/>
        <v>85487733.215278938</v>
      </c>
      <c r="D38" s="26">
        <f t="shared" si="4"/>
        <v>729012.87208395416</v>
      </c>
      <c r="E38" s="26">
        <f t="shared" si="5"/>
        <v>712397.7767939911</v>
      </c>
      <c r="F38" s="25">
        <f t="shared" si="0"/>
        <v>1441410.6488779453</v>
      </c>
      <c r="G38" s="27">
        <f t="shared" si="1"/>
        <v>84758720.343194991</v>
      </c>
      <c r="H38" s="2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"/>
      <c r="B39" s="24">
        <f t="shared" si="2"/>
        <v>25</v>
      </c>
      <c r="C39" s="25">
        <f t="shared" si="3"/>
        <v>84758720.343194991</v>
      </c>
      <c r="D39" s="26">
        <f t="shared" si="4"/>
        <v>735087.9793513203</v>
      </c>
      <c r="E39" s="26">
        <f t="shared" si="5"/>
        <v>706322.66952662496</v>
      </c>
      <c r="F39" s="25">
        <f t="shared" si="0"/>
        <v>1441410.6488779453</v>
      </c>
      <c r="G39" s="27">
        <f t="shared" si="1"/>
        <v>84023632.363843665</v>
      </c>
      <c r="H39" s="2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"/>
      <c r="B40" s="24">
        <f t="shared" si="2"/>
        <v>26</v>
      </c>
      <c r="C40" s="25">
        <f t="shared" si="3"/>
        <v>84023632.363843665</v>
      </c>
      <c r="D40" s="26">
        <f t="shared" si="4"/>
        <v>741213.71251258138</v>
      </c>
      <c r="E40" s="26">
        <f t="shared" si="5"/>
        <v>700196.93636536389</v>
      </c>
      <c r="F40" s="25">
        <f t="shared" si="0"/>
        <v>1441410.6488779453</v>
      </c>
      <c r="G40" s="27">
        <f t="shared" si="1"/>
        <v>83282418.651331082</v>
      </c>
      <c r="H40" s="2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"/>
      <c r="B41" s="24">
        <f t="shared" si="2"/>
        <v>27</v>
      </c>
      <c r="C41" s="25">
        <f t="shared" si="3"/>
        <v>83282418.651331082</v>
      </c>
      <c r="D41" s="26">
        <f t="shared" si="4"/>
        <v>747390.49345018622</v>
      </c>
      <c r="E41" s="26">
        <f t="shared" si="5"/>
        <v>694020.15542775905</v>
      </c>
      <c r="F41" s="25">
        <f t="shared" si="0"/>
        <v>1441410.6488779453</v>
      </c>
      <c r="G41" s="27">
        <f t="shared" si="1"/>
        <v>82535028.157880902</v>
      </c>
      <c r="H41" s="2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"/>
      <c r="B42" s="24">
        <f t="shared" si="2"/>
        <v>28</v>
      </c>
      <c r="C42" s="25">
        <f t="shared" si="3"/>
        <v>82535028.157880902</v>
      </c>
      <c r="D42" s="26">
        <f t="shared" si="4"/>
        <v>753618.74756227108</v>
      </c>
      <c r="E42" s="26">
        <f t="shared" si="5"/>
        <v>687791.90131567419</v>
      </c>
      <c r="F42" s="25">
        <f t="shared" si="0"/>
        <v>1441410.6488779453</v>
      </c>
      <c r="G42" s="27">
        <f t="shared" si="1"/>
        <v>81781409.410318628</v>
      </c>
      <c r="H42" s="2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"/>
      <c r="B43" s="24">
        <f t="shared" si="2"/>
        <v>29</v>
      </c>
      <c r="C43" s="25">
        <f t="shared" si="3"/>
        <v>81781409.410318628</v>
      </c>
      <c r="D43" s="26">
        <f t="shared" si="4"/>
        <v>759898.90379195672</v>
      </c>
      <c r="E43" s="26">
        <f t="shared" si="5"/>
        <v>681511.74508598854</v>
      </c>
      <c r="F43" s="25">
        <f t="shared" si="0"/>
        <v>1441410.6488779453</v>
      </c>
      <c r="G43" s="27">
        <f t="shared" si="1"/>
        <v>81021510.506526664</v>
      </c>
      <c r="H43" s="2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"/>
      <c r="B44" s="24">
        <f t="shared" si="2"/>
        <v>30</v>
      </c>
      <c r="C44" s="25">
        <f t="shared" si="3"/>
        <v>81021510.506526664</v>
      </c>
      <c r="D44" s="26">
        <f t="shared" si="4"/>
        <v>766231.39465688972</v>
      </c>
      <c r="E44" s="26">
        <f t="shared" si="5"/>
        <v>675179.25422105554</v>
      </c>
      <c r="F44" s="25">
        <f t="shared" si="0"/>
        <v>1441410.6488779453</v>
      </c>
      <c r="G44" s="27">
        <f t="shared" si="1"/>
        <v>80255279.111869767</v>
      </c>
      <c r="H44" s="2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"/>
      <c r="B45" s="24">
        <f t="shared" si="2"/>
        <v>31</v>
      </c>
      <c r="C45" s="25">
        <f t="shared" si="3"/>
        <v>80255279.111869767</v>
      </c>
      <c r="D45" s="26">
        <f t="shared" si="4"/>
        <v>772616.65627903049</v>
      </c>
      <c r="E45" s="26">
        <f t="shared" si="5"/>
        <v>668793.99259891477</v>
      </c>
      <c r="F45" s="25">
        <f t="shared" si="0"/>
        <v>1441410.6488779453</v>
      </c>
      <c r="G45" s="27">
        <f t="shared" si="1"/>
        <v>79482662.45559074</v>
      </c>
      <c r="H45" s="2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"/>
      <c r="B46" s="24">
        <f t="shared" si="2"/>
        <v>32</v>
      </c>
      <c r="C46" s="25">
        <f t="shared" si="3"/>
        <v>79482662.45559074</v>
      </c>
      <c r="D46" s="26">
        <f t="shared" si="4"/>
        <v>779055.1284146891</v>
      </c>
      <c r="E46" s="26">
        <f t="shared" si="5"/>
        <v>662355.52046325617</v>
      </c>
      <c r="F46" s="25">
        <f t="shared" si="0"/>
        <v>1441410.6488779453</v>
      </c>
      <c r="G46" s="27">
        <f t="shared" si="1"/>
        <v>78703607.327176049</v>
      </c>
      <c r="H46" s="2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"/>
      <c r="B47" s="24">
        <f t="shared" si="2"/>
        <v>33</v>
      </c>
      <c r="C47" s="25">
        <f t="shared" si="3"/>
        <v>78703607.327176049</v>
      </c>
      <c r="D47" s="26">
        <f t="shared" si="4"/>
        <v>785547.25448481156</v>
      </c>
      <c r="E47" s="26">
        <f t="shared" si="5"/>
        <v>655863.3943931337</v>
      </c>
      <c r="F47" s="25">
        <f t="shared" si="0"/>
        <v>1441410.6488779453</v>
      </c>
      <c r="G47" s="27">
        <f t="shared" si="1"/>
        <v>77918060.072691232</v>
      </c>
      <c r="H47" s="2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"/>
      <c r="B48" s="24">
        <f t="shared" si="2"/>
        <v>34</v>
      </c>
      <c r="C48" s="25">
        <f t="shared" si="3"/>
        <v>77918060.072691232</v>
      </c>
      <c r="D48" s="26">
        <f t="shared" si="4"/>
        <v>792093.48160551838</v>
      </c>
      <c r="E48" s="26">
        <f t="shared" si="5"/>
        <v>649317.16727242689</v>
      </c>
      <c r="F48" s="25">
        <f t="shared" si="0"/>
        <v>1441410.6488779453</v>
      </c>
      <c r="G48" s="27">
        <f t="shared" si="1"/>
        <v>77125966.591085717</v>
      </c>
      <c r="H48" s="2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"/>
      <c r="B49" s="24">
        <f t="shared" si="2"/>
        <v>35</v>
      </c>
      <c r="C49" s="25">
        <f t="shared" si="3"/>
        <v>77125966.591085717</v>
      </c>
      <c r="D49" s="26">
        <f t="shared" si="4"/>
        <v>798694.26061889762</v>
      </c>
      <c r="E49" s="26">
        <f t="shared" si="5"/>
        <v>642716.38825904764</v>
      </c>
      <c r="F49" s="25">
        <f t="shared" si="0"/>
        <v>1441410.6488779453</v>
      </c>
      <c r="G49" s="27">
        <f t="shared" si="1"/>
        <v>76327272.330466822</v>
      </c>
      <c r="H49" s="2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"/>
      <c r="B50" s="24">
        <f t="shared" si="2"/>
        <v>36</v>
      </c>
      <c r="C50" s="25">
        <f t="shared" si="3"/>
        <v>76327272.330466822</v>
      </c>
      <c r="D50" s="26">
        <f t="shared" si="4"/>
        <v>805350.04612405505</v>
      </c>
      <c r="E50" s="26">
        <f t="shared" si="5"/>
        <v>636060.60275389021</v>
      </c>
      <c r="F50" s="25">
        <f t="shared" si="0"/>
        <v>1441410.6488779453</v>
      </c>
      <c r="G50" s="27">
        <f t="shared" si="1"/>
        <v>75521922.284342766</v>
      </c>
      <c r="H50" s="2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"/>
      <c r="B51" s="24">
        <f t="shared" si="2"/>
        <v>37</v>
      </c>
      <c r="C51" s="25">
        <f t="shared" si="3"/>
        <v>75521922.284342766</v>
      </c>
      <c r="D51" s="26">
        <f t="shared" si="4"/>
        <v>812061.29650842224</v>
      </c>
      <c r="E51" s="26">
        <f t="shared" si="5"/>
        <v>629349.35236952303</v>
      </c>
      <c r="F51" s="25">
        <f t="shared" si="0"/>
        <v>1441410.6488779453</v>
      </c>
      <c r="G51" s="27">
        <f t="shared" si="1"/>
        <v>74709860.987834349</v>
      </c>
      <c r="H51" s="2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"/>
      <c r="B52" s="24">
        <f t="shared" si="2"/>
        <v>38</v>
      </c>
      <c r="C52" s="25">
        <f t="shared" si="3"/>
        <v>74709860.987834349</v>
      </c>
      <c r="D52" s="26">
        <f t="shared" si="4"/>
        <v>818828.47397932573</v>
      </c>
      <c r="E52" s="26">
        <f t="shared" si="5"/>
        <v>622582.17489861953</v>
      </c>
      <c r="F52" s="25">
        <f t="shared" si="0"/>
        <v>1441410.6488779453</v>
      </c>
      <c r="G52" s="27">
        <f t="shared" si="1"/>
        <v>73891032.513855025</v>
      </c>
      <c r="H52" s="2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"/>
      <c r="B53" s="24">
        <f t="shared" si="2"/>
        <v>39</v>
      </c>
      <c r="C53" s="25">
        <f t="shared" si="3"/>
        <v>73891032.513855025</v>
      </c>
      <c r="D53" s="26">
        <f t="shared" si="4"/>
        <v>825652.04459582001</v>
      </c>
      <c r="E53" s="26">
        <f t="shared" si="5"/>
        <v>615758.60428212525</v>
      </c>
      <c r="F53" s="25">
        <f t="shared" si="0"/>
        <v>1441410.6488779453</v>
      </c>
      <c r="G53" s="27">
        <f t="shared" si="1"/>
        <v>73065380.469259202</v>
      </c>
      <c r="H53" s="2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"/>
      <c r="B54" s="24">
        <f t="shared" si="2"/>
        <v>40</v>
      </c>
      <c r="C54" s="25">
        <f t="shared" si="3"/>
        <v>73065380.469259202</v>
      </c>
      <c r="D54" s="26">
        <f t="shared" si="4"/>
        <v>832532.4783007853</v>
      </c>
      <c r="E54" s="26">
        <f t="shared" si="5"/>
        <v>608878.17057715997</v>
      </c>
      <c r="F54" s="25">
        <f t="shared" si="0"/>
        <v>1441410.6488779453</v>
      </c>
      <c r="G54" s="27">
        <f t="shared" si="1"/>
        <v>72232847.990958422</v>
      </c>
      <c r="H54" s="2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"/>
      <c r="B55" s="24">
        <f t="shared" si="2"/>
        <v>41</v>
      </c>
      <c r="C55" s="25">
        <f t="shared" si="3"/>
        <v>72232847.990958422</v>
      </c>
      <c r="D55" s="26">
        <f t="shared" si="4"/>
        <v>839470.2489532918</v>
      </c>
      <c r="E55" s="26">
        <f t="shared" si="5"/>
        <v>601940.39992465347</v>
      </c>
      <c r="F55" s="25">
        <f t="shared" si="0"/>
        <v>1441410.6488779453</v>
      </c>
      <c r="G55" s="27">
        <f t="shared" si="1"/>
        <v>71393377.742005125</v>
      </c>
      <c r="H55" s="2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"/>
      <c r="B56" s="24">
        <f t="shared" si="2"/>
        <v>42</v>
      </c>
      <c r="C56" s="25">
        <f t="shared" si="3"/>
        <v>71393377.742005125</v>
      </c>
      <c r="D56" s="26">
        <f t="shared" si="4"/>
        <v>846465.83436123584</v>
      </c>
      <c r="E56" s="26">
        <f t="shared" si="5"/>
        <v>594944.81451670942</v>
      </c>
      <c r="F56" s="25">
        <f t="shared" si="0"/>
        <v>1441410.6488779453</v>
      </c>
      <c r="G56" s="27">
        <f t="shared" si="1"/>
        <v>70546911.907643884</v>
      </c>
      <c r="H56" s="2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"/>
      <c r="B57" s="24">
        <f t="shared" si="2"/>
        <v>43</v>
      </c>
      <c r="C57" s="25">
        <f t="shared" si="3"/>
        <v>70546911.907643884</v>
      </c>
      <c r="D57" s="26">
        <f t="shared" si="4"/>
        <v>853519.71631424618</v>
      </c>
      <c r="E57" s="26">
        <f t="shared" si="5"/>
        <v>587890.93256369908</v>
      </c>
      <c r="F57" s="25">
        <f t="shared" si="0"/>
        <v>1441410.6488779453</v>
      </c>
      <c r="G57" s="27">
        <f t="shared" si="1"/>
        <v>69693392.191329643</v>
      </c>
      <c r="H57" s="2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"/>
      <c r="B58" s="24">
        <f t="shared" si="2"/>
        <v>44</v>
      </c>
      <c r="C58" s="25">
        <f t="shared" si="3"/>
        <v>69693392.191329643</v>
      </c>
      <c r="D58" s="26">
        <f t="shared" si="4"/>
        <v>860632.38061686489</v>
      </c>
      <c r="E58" s="26">
        <f t="shared" si="5"/>
        <v>580778.26826108037</v>
      </c>
      <c r="F58" s="25">
        <f t="shared" si="0"/>
        <v>1441410.6488779453</v>
      </c>
      <c r="G58" s="27">
        <f t="shared" si="1"/>
        <v>68832759.810712785</v>
      </c>
      <c r="H58" s="2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"/>
      <c r="B59" s="24">
        <f t="shared" si="2"/>
        <v>45</v>
      </c>
      <c r="C59" s="25">
        <f t="shared" si="3"/>
        <v>68832759.810712785</v>
      </c>
      <c r="D59" s="26">
        <f t="shared" si="4"/>
        <v>867804.31712200539</v>
      </c>
      <c r="E59" s="26">
        <f t="shared" si="5"/>
        <v>573606.33175593987</v>
      </c>
      <c r="F59" s="25">
        <f t="shared" si="0"/>
        <v>1441410.6488779453</v>
      </c>
      <c r="G59" s="27">
        <f t="shared" si="1"/>
        <v>67964955.493590772</v>
      </c>
      <c r="H59" s="2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"/>
      <c r="B60" s="24">
        <f t="shared" si="2"/>
        <v>46</v>
      </c>
      <c r="C60" s="25">
        <f t="shared" si="3"/>
        <v>67964955.493590772</v>
      </c>
      <c r="D60" s="26">
        <f t="shared" si="4"/>
        <v>875036.0197646888</v>
      </c>
      <c r="E60" s="26">
        <f t="shared" si="5"/>
        <v>566374.62911325647</v>
      </c>
      <c r="F60" s="25">
        <f t="shared" si="0"/>
        <v>1441410.6488779453</v>
      </c>
      <c r="G60" s="27">
        <f t="shared" si="1"/>
        <v>67089919.473826081</v>
      </c>
      <c r="H60" s="2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"/>
      <c r="B61" s="24">
        <f t="shared" si="2"/>
        <v>47</v>
      </c>
      <c r="C61" s="25">
        <f t="shared" si="3"/>
        <v>67089919.473826081</v>
      </c>
      <c r="D61" s="26">
        <f t="shared" si="4"/>
        <v>882327.98659606127</v>
      </c>
      <c r="E61" s="26">
        <f t="shared" si="5"/>
        <v>559082.662281884</v>
      </c>
      <c r="F61" s="25">
        <f t="shared" si="0"/>
        <v>1441410.6488779453</v>
      </c>
      <c r="G61" s="27">
        <f t="shared" si="1"/>
        <v>66207591.487230018</v>
      </c>
      <c r="H61" s="2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"/>
      <c r="B62" s="24">
        <f t="shared" si="2"/>
        <v>48</v>
      </c>
      <c r="C62" s="25">
        <f t="shared" si="3"/>
        <v>66207591.487230018</v>
      </c>
      <c r="D62" s="26">
        <f t="shared" si="4"/>
        <v>889680.71981769509</v>
      </c>
      <c r="E62" s="26">
        <f t="shared" si="5"/>
        <v>551729.92906025017</v>
      </c>
      <c r="F62" s="25">
        <f t="shared" si="0"/>
        <v>1441410.6488779453</v>
      </c>
      <c r="G62" s="27">
        <f t="shared" si="1"/>
        <v>65317910.76741232</v>
      </c>
      <c r="H62" s="2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"/>
      <c r="B65" s="1"/>
      <c r="C65" s="1"/>
      <c r="D65" s="28">
        <f t="shared" ref="D65:E65" si="6">SUM(D15:D62)</f>
        <v>34682089.232587643</v>
      </c>
      <c r="E65" s="28">
        <f t="shared" si="6"/>
        <v>34505621.91355373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3:B14"/>
    <mergeCell ref="C13:C14"/>
    <mergeCell ref="D13:E13"/>
    <mergeCell ref="F13:F14"/>
    <mergeCell ref="G13:G1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REPAYMENT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2026-05-12T00:50:05Z</dcterms:created>
  <dcterms:modified xsi:type="dcterms:W3CDTF">2026-05-22T08:18:06Z</dcterms:modified>
</cp:coreProperties>
</file>